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0C34C0CB-C88B-48A7-944D-39ECC8B0326F}" xr6:coauthVersionLast="47" xr6:coauthVersionMax="47" xr10:uidLastSave="{00000000-0000-0000-0000-000000000000}"/>
  <bookViews>
    <workbookView xWindow="-38520" yWindow="-2895" windowWidth="38640" windowHeight="21120" xr2:uid="{00000000-000D-0000-FFFF-FFFF00000000}"/>
  </bookViews>
  <sheets>
    <sheet name="CattleHerd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4" l="1"/>
  <c r="F21" i="4"/>
  <c r="F4" i="4"/>
  <c r="F12" i="4" l="1"/>
  <c r="F14" i="4"/>
  <c r="I14" i="4" s="1"/>
  <c r="I11" i="4"/>
  <c r="F13" i="4" s="1"/>
  <c r="I13" i="4" s="1"/>
  <c r="F3" i="4"/>
  <c r="I7" i="4"/>
  <c r="F8" i="4"/>
  <c r="F7" i="4"/>
  <c r="I21" i="4"/>
  <c r="I22" i="4"/>
  <c r="F23" i="4"/>
  <c r="I18" i="4"/>
  <c r="I17" i="4"/>
  <c r="F19" i="4" s="1"/>
  <c r="F18" i="4"/>
  <c r="F17" i="4"/>
  <c r="F11" i="4" l="1"/>
</calcChain>
</file>

<file path=xl/sharedStrings.xml><?xml version="1.0" encoding="utf-8"?>
<sst xmlns="http://schemas.openxmlformats.org/spreadsheetml/2006/main" count="86" uniqueCount="32">
  <si>
    <t>parameter</t>
  </si>
  <si>
    <t>val_is</t>
  </si>
  <si>
    <t>abs</t>
  </si>
  <si>
    <t>slaughter_share_male_as_steers</t>
  </si>
  <si>
    <t>y_0</t>
  </si>
  <si>
    <t>dairy</t>
  </si>
  <si>
    <t>steers</t>
  </si>
  <si>
    <t>share_in_ration</t>
  </si>
  <si>
    <t>ley silage, regrowth</t>
  </si>
  <si>
    <t>grazing</t>
  </si>
  <si>
    <t>orig.</t>
  </si>
  <si>
    <t>new</t>
  </si>
  <si>
    <t>beef</t>
  </si>
  <si>
    <t>f_breed</t>
  </si>
  <si>
    <t>f_animal</t>
  </si>
  <si>
    <t>f_feed</t>
  </si>
  <si>
    <t>Feed rations</t>
  </si>
  <si>
    <t>Share castrated</t>
  </si>
  <si>
    <t>slaughter_age</t>
  </si>
  <si>
    <t>months</t>
  </si>
  <si>
    <t>Slaughter age</t>
  </si>
  <si>
    <t>%</t>
  </si>
  <si>
    <t>rel</t>
  </si>
  <si>
    <t>other feeds changed proportionally</t>
  </si>
  <si>
    <t>varies by breed and prod_system</t>
  </si>
  <si>
    <t>Slaughter and live weight</t>
  </si>
  <si>
    <t>slaughter_weight</t>
  </si>
  <si>
    <t>kg CW</t>
  </si>
  <si>
    <t>live_weight_slaughter</t>
  </si>
  <si>
    <t>changes proportionally to slaughter weight</t>
  </si>
  <si>
    <t>kg</t>
  </si>
  <si>
    <t>slaughter_share_as_calf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</si>
</sst>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4" fillId="0" borderId="0" xfId="0" applyNumberFormat="1" applyFont="1"/>
    <xf numFmtId="0" fontId="3" fillId="0" borderId="0" xfId="0" applyFont="1"/>
    <xf numFmtId="0" fontId="5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P17" sqref="P17"/>
    </sheetView>
  </sheetViews>
  <sheetFormatPr defaultRowHeight="15" x14ac:dyDescent="0.25"/>
  <cols>
    <col min="3" max="3" width="18.7109375" bestFit="1" customWidth="1"/>
    <col min="4" max="4" width="30.5703125" bestFit="1" customWidth="1"/>
    <col min="5" max="5" width="6" bestFit="1" customWidth="1"/>
    <col min="6" max="6" width="7" bestFit="1" customWidth="1"/>
  </cols>
  <sheetData>
    <row r="1" spans="1:11" x14ac:dyDescent="0.25">
      <c r="A1" s="1" t="s">
        <v>13</v>
      </c>
      <c r="B1" s="1" t="s">
        <v>14</v>
      </c>
      <c r="C1" s="1" t="s">
        <v>15</v>
      </c>
      <c r="D1" s="1" t="s">
        <v>0</v>
      </c>
      <c r="E1" s="1" t="s">
        <v>1</v>
      </c>
      <c r="F1" s="1" t="s">
        <v>4</v>
      </c>
      <c r="H1" t="s">
        <v>10</v>
      </c>
      <c r="I1" t="s">
        <v>11</v>
      </c>
    </row>
    <row r="2" spans="1:11" x14ac:dyDescent="0.25">
      <c r="A2" s="2" t="s">
        <v>17</v>
      </c>
    </row>
    <row r="3" spans="1:11" x14ac:dyDescent="0.25">
      <c r="D3" t="s">
        <v>3</v>
      </c>
      <c r="E3" t="s">
        <v>2</v>
      </c>
      <c r="F3" s="5">
        <f>I3</f>
        <v>100</v>
      </c>
      <c r="H3" t="s">
        <v>24</v>
      </c>
      <c r="I3" s="8">
        <v>100</v>
      </c>
      <c r="J3" t="s">
        <v>21</v>
      </c>
    </row>
    <row r="4" spans="1:11" x14ac:dyDescent="0.25">
      <c r="D4" t="s">
        <v>31</v>
      </c>
      <c r="E4" t="s">
        <v>2</v>
      </c>
      <c r="F4" s="5">
        <f>I4</f>
        <v>0</v>
      </c>
      <c r="H4" t="s">
        <v>24</v>
      </c>
      <c r="I4" s="8">
        <v>0</v>
      </c>
      <c r="J4" t="s">
        <v>21</v>
      </c>
    </row>
    <row r="6" spans="1:11" x14ac:dyDescent="0.25">
      <c r="A6" s="2" t="s">
        <v>20</v>
      </c>
    </row>
    <row r="7" spans="1:11" x14ac:dyDescent="0.25">
      <c r="A7" t="s">
        <v>5</v>
      </c>
      <c r="B7" t="s">
        <v>6</v>
      </c>
      <c r="D7" t="s">
        <v>18</v>
      </c>
      <c r="E7" t="s">
        <v>2</v>
      </c>
      <c r="F7" s="3">
        <f>I7</f>
        <v>29.050688450113576</v>
      </c>
      <c r="H7" s="3">
        <v>29.050688450113576</v>
      </c>
      <c r="I7" s="6">
        <f>H7</f>
        <v>29.050688450113576</v>
      </c>
      <c r="J7" t="s">
        <v>19</v>
      </c>
    </row>
    <row r="8" spans="1:11" x14ac:dyDescent="0.25">
      <c r="A8" t="s">
        <v>12</v>
      </c>
      <c r="B8" t="s">
        <v>6</v>
      </c>
      <c r="D8" t="s">
        <v>18</v>
      </c>
      <c r="E8" t="s">
        <v>2</v>
      </c>
      <c r="F8" s="3">
        <f>I8</f>
        <v>30</v>
      </c>
      <c r="H8" s="3">
        <v>27.558030529284888</v>
      </c>
      <c r="I8" s="8">
        <v>30</v>
      </c>
      <c r="J8" t="s">
        <v>19</v>
      </c>
    </row>
    <row r="9" spans="1:11" x14ac:dyDescent="0.25">
      <c r="E9" s="3"/>
    </row>
    <row r="10" spans="1:11" x14ac:dyDescent="0.25">
      <c r="A10" s="2" t="s">
        <v>25</v>
      </c>
      <c r="E10" s="3"/>
    </row>
    <row r="11" spans="1:11" x14ac:dyDescent="0.25">
      <c r="A11" t="s">
        <v>5</v>
      </c>
      <c r="B11" t="s">
        <v>6</v>
      </c>
      <c r="D11" t="s">
        <v>26</v>
      </c>
      <c r="E11" s="3" t="s">
        <v>2</v>
      </c>
      <c r="F11" s="3">
        <f>I11</f>
        <v>328.06056613664163</v>
      </c>
      <c r="H11" s="3">
        <v>328.06056613664163</v>
      </c>
      <c r="I11" s="6">
        <f>H11</f>
        <v>328.06056613664163</v>
      </c>
      <c r="J11" t="s">
        <v>27</v>
      </c>
    </row>
    <row r="12" spans="1:11" x14ac:dyDescent="0.25">
      <c r="A12" t="s">
        <v>12</v>
      </c>
      <c r="B12" t="s">
        <v>6</v>
      </c>
      <c r="D12" t="s">
        <v>26</v>
      </c>
      <c r="E12" s="3" t="s">
        <v>2</v>
      </c>
      <c r="F12" s="3">
        <f>I12</f>
        <v>385</v>
      </c>
      <c r="H12" s="3">
        <v>335.97588628947517</v>
      </c>
      <c r="I12" s="9">
        <v>385</v>
      </c>
      <c r="J12" t="s">
        <v>27</v>
      </c>
    </row>
    <row r="13" spans="1:11" x14ac:dyDescent="0.25">
      <c r="A13" t="s">
        <v>5</v>
      </c>
      <c r="B13" t="s">
        <v>6</v>
      </c>
      <c r="D13" s="7" t="s">
        <v>28</v>
      </c>
      <c r="E13" s="3" t="s">
        <v>22</v>
      </c>
      <c r="F13" s="4">
        <f>I11/H11</f>
        <v>1</v>
      </c>
      <c r="H13" s="3">
        <v>640.74329323562813</v>
      </c>
      <c r="I13" s="6">
        <f>H13*F13</f>
        <v>640.74329323562813</v>
      </c>
      <c r="J13" t="s">
        <v>30</v>
      </c>
      <c r="K13" s="3" t="s">
        <v>29</v>
      </c>
    </row>
    <row r="14" spans="1:11" x14ac:dyDescent="0.25">
      <c r="A14" t="s">
        <v>12</v>
      </c>
      <c r="B14" t="s">
        <v>6</v>
      </c>
      <c r="D14" s="7" t="s">
        <v>28</v>
      </c>
      <c r="E14" s="3" t="s">
        <v>22</v>
      </c>
      <c r="F14" s="4">
        <f>I12/H12</f>
        <v>1.145915572251176</v>
      </c>
      <c r="H14" s="3">
        <v>631.22742272568064</v>
      </c>
      <c r="I14" s="6">
        <f>H14*F14</f>
        <v>723.33333333333337</v>
      </c>
      <c r="J14" t="s">
        <v>30</v>
      </c>
      <c r="K14" s="3" t="s">
        <v>29</v>
      </c>
    </row>
    <row r="16" spans="1:11" x14ac:dyDescent="0.25">
      <c r="A16" s="2" t="s">
        <v>16</v>
      </c>
    </row>
    <row r="17" spans="1:10" x14ac:dyDescent="0.25">
      <c r="A17" t="s">
        <v>5</v>
      </c>
      <c r="B17" t="s">
        <v>6</v>
      </c>
      <c r="C17" t="s">
        <v>8</v>
      </c>
      <c r="D17" t="s">
        <v>7</v>
      </c>
      <c r="E17" t="s">
        <v>2</v>
      </c>
      <c r="F17" s="3">
        <f>H17</f>
        <v>55.029062371648976</v>
      </c>
      <c r="H17" s="3">
        <v>55.029062371648976</v>
      </c>
      <c r="I17" s="6">
        <f>H17</f>
        <v>55.029062371648976</v>
      </c>
      <c r="J17" t="s">
        <v>21</v>
      </c>
    </row>
    <row r="18" spans="1:10" x14ac:dyDescent="0.25">
      <c r="A18" t="s">
        <v>5</v>
      </c>
      <c r="B18" t="s">
        <v>6</v>
      </c>
      <c r="C18" t="s">
        <v>9</v>
      </c>
      <c r="D18" t="s">
        <v>7</v>
      </c>
      <c r="E18" t="s">
        <v>2</v>
      </c>
      <c r="F18" s="3">
        <f>H18</f>
        <v>38.614788214420173</v>
      </c>
      <c r="H18" s="3">
        <v>38.614788214420173</v>
      </c>
      <c r="I18" s="6">
        <f>H18</f>
        <v>38.614788214420173</v>
      </c>
      <c r="J18" t="s">
        <v>21</v>
      </c>
    </row>
    <row r="19" spans="1:10" x14ac:dyDescent="0.25">
      <c r="A19" t="s">
        <v>5</v>
      </c>
      <c r="B19" t="s">
        <v>6</v>
      </c>
      <c r="D19" t="s">
        <v>7</v>
      </c>
      <c r="E19" t="s">
        <v>22</v>
      </c>
      <c r="F19" s="4">
        <f>(1/(100-SUM(H17:H18))*(1-SUM(I17:I18)/100)*100)</f>
        <v>1.0000000000000007</v>
      </c>
      <c r="H19" t="s">
        <v>23</v>
      </c>
    </row>
    <row r="21" spans="1:10" x14ac:dyDescent="0.25">
      <c r="A21" t="s">
        <v>12</v>
      </c>
      <c r="B21" t="s">
        <v>6</v>
      </c>
      <c r="C21" t="s">
        <v>8</v>
      </c>
      <c r="D21" t="s">
        <v>7</v>
      </c>
      <c r="E21" t="s">
        <v>2</v>
      </c>
      <c r="F21" s="3">
        <f>H21</f>
        <v>69.016974351370379</v>
      </c>
      <c r="H21" s="3">
        <v>69.016974351370379</v>
      </c>
      <c r="I21" s="9">
        <f>100*0.53685</f>
        <v>53.685000000000002</v>
      </c>
      <c r="J21" t="s">
        <v>21</v>
      </c>
    </row>
    <row r="22" spans="1:10" x14ac:dyDescent="0.25">
      <c r="A22" t="s">
        <v>12</v>
      </c>
      <c r="B22" t="s">
        <v>6</v>
      </c>
      <c r="C22" t="s">
        <v>9</v>
      </c>
      <c r="D22" t="s">
        <v>7</v>
      </c>
      <c r="E22" t="s">
        <v>2</v>
      </c>
      <c r="F22" s="3">
        <f>H22</f>
        <v>30.282083494235561</v>
      </c>
      <c r="H22" s="3">
        <v>30.282083494235561</v>
      </c>
      <c r="I22" s="9">
        <f>0.4574*100</f>
        <v>45.739999999999995</v>
      </c>
      <c r="J22" t="s">
        <v>21</v>
      </c>
    </row>
    <row r="23" spans="1:10" x14ac:dyDescent="0.25">
      <c r="A23" t="s">
        <v>12</v>
      </c>
      <c r="B23" t="s">
        <v>6</v>
      </c>
      <c r="D23" t="s">
        <v>7</v>
      </c>
      <c r="E23" t="s">
        <v>22</v>
      </c>
      <c r="F23" s="4">
        <f>(1/(100-SUM(H21:H22))*(1-SUM(I21:I22)/100)*100)</f>
        <v>0.82032446813970517</v>
      </c>
      <c r="H23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2026-04-21T11:18:33Z</dcterms:modified>
</cp:coreProperties>
</file>