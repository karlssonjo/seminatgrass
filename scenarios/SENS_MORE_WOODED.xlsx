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83658D0F-627F-4C95-8207-2119CA4C358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eoDistributor" sheetId="4" r:id="rId1"/>
    <sheet name="Reg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E320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215" i="3"/>
  <c r="M109" i="3" l="1"/>
  <c r="H109" i="3"/>
  <c r="I109" i="3"/>
  <c r="J109" i="3"/>
  <c r="G109" i="3"/>
  <c r="E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3" i="3"/>
  <c r="K109" i="3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21" i="3"/>
  <c r="E150" i="3"/>
  <c r="E169" i="3"/>
  <c r="E182" i="3"/>
  <c r="E198" i="3"/>
  <c r="E199" i="3"/>
  <c r="E116" i="3"/>
  <c r="E133" i="3"/>
  <c r="E148" i="3"/>
  <c r="E164" i="3"/>
  <c r="E165" i="3"/>
  <c r="E180" i="3"/>
  <c r="E181" i="3"/>
  <c r="E196" i="3"/>
  <c r="E197" i="3"/>
  <c r="E212" i="3"/>
  <c r="E21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3" i="3"/>
  <c r="O109" i="3" l="1"/>
  <c r="E201" i="3"/>
  <c r="E185" i="3"/>
  <c r="E153" i="3"/>
  <c r="E184" i="3"/>
  <c r="E168" i="3"/>
  <c r="E152" i="3"/>
  <c r="E183" i="3"/>
  <c r="E167" i="3"/>
  <c r="E151" i="3"/>
  <c r="E135" i="3"/>
  <c r="E166" i="3"/>
  <c r="E134" i="3"/>
  <c r="E149" i="3"/>
  <c r="E117" i="3"/>
  <c r="E132" i="3"/>
  <c r="E179" i="3"/>
  <c r="E147" i="3"/>
  <c r="E115" i="3"/>
  <c r="E146" i="3"/>
  <c r="E130" i="3"/>
  <c r="E193" i="3"/>
  <c r="E113" i="3"/>
  <c r="E208" i="3"/>
  <c r="E192" i="3"/>
  <c r="E144" i="3"/>
  <c r="E112" i="3"/>
  <c r="E209" i="3"/>
  <c r="E191" i="3"/>
  <c r="E159" i="3"/>
  <c r="E143" i="3"/>
  <c r="E111" i="3"/>
  <c r="E177" i="3"/>
  <c r="E158" i="3"/>
  <c r="E142" i="3"/>
  <c r="E110" i="3"/>
  <c r="E109" i="3"/>
  <c r="E129" i="3"/>
  <c r="E127" i="3"/>
  <c r="E126" i="3"/>
  <c r="E145" i="3"/>
  <c r="E190" i="3"/>
  <c r="E174" i="3"/>
  <c r="E128" i="3"/>
  <c r="E163" i="3"/>
  <c r="E162" i="3"/>
  <c r="E161" i="3"/>
  <c r="E160" i="3"/>
  <c r="E211" i="3"/>
  <c r="E114" i="3"/>
  <c r="E206" i="3"/>
  <c r="E120" i="3"/>
  <c r="E119" i="3"/>
  <c r="E118" i="3"/>
  <c r="E131" i="3"/>
  <c r="E195" i="3"/>
  <c r="E200" i="3"/>
  <c r="E178" i="3"/>
  <c r="E210" i="3"/>
  <c r="E176" i="3"/>
  <c r="E137" i="3"/>
  <c r="E214" i="3"/>
  <c r="E136" i="3"/>
  <c r="E194" i="3"/>
  <c r="E173" i="3"/>
  <c r="E188" i="3"/>
  <c r="E124" i="3"/>
  <c r="E203" i="3"/>
  <c r="E187" i="3"/>
  <c r="E171" i="3"/>
  <c r="E155" i="3"/>
  <c r="E139" i="3"/>
  <c r="E123" i="3"/>
  <c r="E175" i="3"/>
  <c r="E205" i="3"/>
  <c r="E125" i="3"/>
  <c r="E204" i="3"/>
  <c r="E140" i="3"/>
  <c r="E202" i="3"/>
  <c r="E186" i="3"/>
  <c r="E170" i="3"/>
  <c r="E154" i="3"/>
  <c r="E138" i="3"/>
  <c r="E122" i="3"/>
  <c r="E207" i="3"/>
  <c r="E189" i="3"/>
  <c r="E141" i="3"/>
  <c r="E156" i="3"/>
  <c r="E157" i="3"/>
  <c r="E172" i="3"/>
</calcChain>
</file>

<file path=xl/sharedStrings.xml><?xml version="1.0" encoding="utf-8"?>
<sst xmlns="http://schemas.openxmlformats.org/spreadsheetml/2006/main" count="1297" uniqueCount="21">
  <si>
    <t>parameter</t>
  </si>
  <si>
    <t>val_is</t>
  </si>
  <si>
    <t>y_0</t>
  </si>
  <si>
    <t>f_region</t>
  </si>
  <si>
    <t>x0_crops</t>
  </si>
  <si>
    <t>rel</t>
  </si>
  <si>
    <t>f_crop</t>
  </si>
  <si>
    <t>Semi-natural pastures</t>
  </si>
  <si>
    <t>Semi-natural pastures, thin soils</t>
  </si>
  <si>
    <t>Semi-natural pastures, wooded</t>
  </si>
  <si>
    <t>Semi-natural meadows</t>
  </si>
  <si>
    <t>Baseline semi-natural grasslands</t>
  </si>
  <si>
    <t>area</t>
  </si>
  <si>
    <t>factor</t>
  </si>
  <si>
    <t>Potential pasture area from raster</t>
  </si>
  <si>
    <t>Potential pasture area from polygons</t>
  </si>
  <si>
    <t>Cut-off</t>
  </si>
  <si>
    <t>total</t>
  </si>
  <si>
    <t>wooded_factor</t>
  </si>
  <si>
    <t>new</t>
  </si>
  <si>
    <t>Wooded 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</si>
</sst>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8" fillId="0" borderId="0" xfId="0" applyFont="1"/>
    <xf numFmtId="164" fontId="0" fillId="0" borderId="0" xfId="0" applyNumberFormat="1"/>
    <xf numFmtId="3" fontId="0" fillId="0" borderId="0" xfId="0" applyNumberFormat="1"/>
    <xf numFmtId="0" fontId="20" fillId="0" borderId="0" xfId="0" applyFont="1"/>
    <xf numFmtId="0" fontId="21" fillId="0" borderId="0" xfId="0" applyFont="1"/>
    <xf numFmtId="3" fontId="21" fillId="0" borderId="0" xfId="0" applyNumberFormat="1" applyFont="1"/>
    <xf numFmtId="164" fontId="21" fillId="0" borderId="0" xfId="0" applyNumberFormat="1" applyFont="1"/>
    <xf numFmtId="3" fontId="16" fillId="0" borderId="0" xfId="0" applyNumberFormat="1" applyFont="1"/>
    <xf numFmtId="3" fontId="20" fillId="0" borderId="0" xfId="0" applyNumberFormat="1" applyFont="1"/>
    <xf numFmtId="0" fontId="19" fillId="0" borderId="0" xfId="0" applyFont="1" applyAlignment="1">
      <alignment horizontal="right"/>
    </xf>
    <xf numFmtId="0" fontId="22" fillId="0" borderId="0" xfId="0" applyFont="1"/>
    <xf numFmtId="0" fontId="23" fillId="0" borderId="0" xfId="0" applyFont="1"/>
    <xf numFmtId="9" fontId="18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71E8-BC23-4412-9256-BBE636012CB3}">
  <dimension ref="A1:F3"/>
  <sheetViews>
    <sheetView tabSelected="1" workbookViewId="0">
      <selection activeCell="D3" sqref="D3"/>
    </sheetView>
  </sheetViews>
  <sheetFormatPr defaultRowHeight="15" x14ac:dyDescent="0.25"/>
  <cols>
    <col min="2" max="2" width="14.5703125" bestFit="1" customWidth="1"/>
  </cols>
  <sheetData>
    <row r="1" spans="1:6" x14ac:dyDescent="0.25">
      <c r="A1" t="s">
        <v>6</v>
      </c>
      <c r="B1" t="s">
        <v>0</v>
      </c>
      <c r="C1" t="s">
        <v>1</v>
      </c>
      <c r="D1" t="s">
        <v>2</v>
      </c>
    </row>
    <row r="2" spans="1:6" x14ac:dyDescent="0.25">
      <c r="B2" t="s">
        <v>18</v>
      </c>
      <c r="C2" t="s">
        <v>19</v>
      </c>
      <c r="D2">
        <v>10</v>
      </c>
      <c r="F2" t="s">
        <v>20</v>
      </c>
    </row>
    <row r="3" spans="1:6" x14ac:dyDescent="0.25">
      <c r="F3" s="14">
        <f>(Regions!J109*D2)/(Regions!J109*D2+SUM(Regions!G109:I109))</f>
        <v>0.2396036146811418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6"/>
  <sheetViews>
    <sheetView topLeftCell="A82" workbookViewId="0">
      <selection activeCell="J111" sqref="J111"/>
    </sheetView>
  </sheetViews>
  <sheetFormatPr defaultRowHeight="15" x14ac:dyDescent="0.25"/>
  <cols>
    <col min="1" max="1" width="30.140625" bestFit="1" customWidth="1"/>
    <col min="2" max="2" width="22.28515625" bestFit="1" customWidth="1"/>
    <col min="3" max="3" width="20.140625" bestFit="1" customWidth="1"/>
    <col min="4" max="4" width="6" bestFit="1" customWidth="1"/>
    <col min="5" max="5" width="9.5703125" bestFit="1" customWidth="1"/>
    <col min="14" max="14" width="9.5703125" customWidth="1"/>
    <col min="15" max="15" width="9.140625" style="6"/>
    <col min="16" max="16" width="10.5703125" style="6" bestFit="1" customWidth="1"/>
    <col min="17" max="17" width="9.28515625" style="13" bestFit="1" customWidth="1"/>
  </cols>
  <sheetData>
    <row r="1" spans="1:19" x14ac:dyDescent="0.25">
      <c r="A1" t="s">
        <v>6</v>
      </c>
      <c r="B1" t="s">
        <v>3</v>
      </c>
      <c r="C1" t="s">
        <v>0</v>
      </c>
      <c r="D1" t="s">
        <v>1</v>
      </c>
      <c r="E1" t="s">
        <v>2</v>
      </c>
      <c r="G1" s="1" t="s">
        <v>11</v>
      </c>
      <c r="M1" s="1" t="s">
        <v>15</v>
      </c>
      <c r="O1" s="5" t="s">
        <v>14</v>
      </c>
    </row>
    <row r="2" spans="1:19" x14ac:dyDescent="0.25">
      <c r="G2" t="s">
        <v>10</v>
      </c>
      <c r="H2" t="s">
        <v>7</v>
      </c>
      <c r="I2" t="s">
        <v>8</v>
      </c>
      <c r="J2" t="s">
        <v>9</v>
      </c>
      <c r="K2" s="1" t="s">
        <v>17</v>
      </c>
      <c r="M2" t="s">
        <v>12</v>
      </c>
      <c r="O2" s="6" t="s">
        <v>12</v>
      </c>
      <c r="P2" s="6" t="s">
        <v>13</v>
      </c>
    </row>
    <row r="3" spans="1:19" x14ac:dyDescent="0.25">
      <c r="A3" t="s">
        <v>7</v>
      </c>
      <c r="B3">
        <v>1011</v>
      </c>
      <c r="C3" t="s">
        <v>4</v>
      </c>
      <c r="D3" t="s">
        <v>5</v>
      </c>
      <c r="E3" s="3">
        <f t="shared" ref="E3:E34" si="0">(M3-G3)/SUM(H3:I3)</f>
        <v>1.6081167250830555</v>
      </c>
      <c r="G3" s="4">
        <v>27.277999999999928</v>
      </c>
      <c r="H3" s="4">
        <v>7494.7202302751139</v>
      </c>
      <c r="I3" s="4">
        <v>118.82347894422439</v>
      </c>
      <c r="J3" s="4">
        <v>72.63645078065656</v>
      </c>
      <c r="K3" s="9">
        <f>SUM(G3:J3)</f>
        <v>7713.4581599999947</v>
      </c>
      <c r="M3" s="4">
        <v>12270.7449759465</v>
      </c>
      <c r="N3" s="3"/>
      <c r="O3" s="7">
        <f t="shared" ref="O3:O34" si="1">SUM(G3:J3)*MIN(P3,$S$3)</f>
        <v>23913.325534262109</v>
      </c>
      <c r="P3" s="8">
        <v>3.10020810876637</v>
      </c>
      <c r="Q3" s="13" t="str">
        <f>IF(P3&gt;10,"cut-off","")</f>
        <v/>
      </c>
      <c r="R3" s="12" t="s">
        <v>16</v>
      </c>
      <c r="S3" s="13">
        <v>10</v>
      </c>
    </row>
    <row r="4" spans="1:19" x14ac:dyDescent="0.25">
      <c r="A4" t="s">
        <v>7</v>
      </c>
      <c r="B4">
        <v>111</v>
      </c>
      <c r="C4" t="s">
        <v>4</v>
      </c>
      <c r="D4" t="s">
        <v>5</v>
      </c>
      <c r="E4" s="3">
        <f t="shared" si="0"/>
        <v>4.0698517682069193</v>
      </c>
      <c r="G4" s="4">
        <v>69.567999999999913</v>
      </c>
      <c r="H4" s="4">
        <v>4849.9222183412203</v>
      </c>
      <c r="I4" s="4">
        <v>49.488179189557201</v>
      </c>
      <c r="J4" s="4">
        <v>146.00040246921279</v>
      </c>
      <c r="K4" s="9">
        <f t="shared" ref="K4:K67" si="2">SUM(G4:J4)</f>
        <v>5114.9787999999899</v>
      </c>
      <c r="M4" s="4">
        <v>20009.442069561999</v>
      </c>
      <c r="N4" s="3"/>
      <c r="O4" s="7">
        <f t="shared" si="1"/>
        <v>38702.968526017117</v>
      </c>
      <c r="P4" s="8">
        <v>7.5665941227395104</v>
      </c>
      <c r="Q4" s="13" t="str">
        <f t="shared" ref="Q4:Q67" si="3">IF(P4&gt;10,"cut-off","")</f>
        <v/>
      </c>
      <c r="R4" s="11"/>
      <c r="S4" s="2"/>
    </row>
    <row r="5" spans="1:19" x14ac:dyDescent="0.25">
      <c r="A5" t="s">
        <v>7</v>
      </c>
      <c r="B5">
        <v>1111</v>
      </c>
      <c r="C5" t="s">
        <v>4</v>
      </c>
      <c r="D5" t="s">
        <v>5</v>
      </c>
      <c r="E5" s="3">
        <f t="shared" si="0"/>
        <v>1.5272826289777168</v>
      </c>
      <c r="G5" s="4">
        <v>555.84199999999964</v>
      </c>
      <c r="H5" s="4">
        <v>8181.6907810162193</v>
      </c>
      <c r="I5" s="4">
        <v>0</v>
      </c>
      <c r="J5" s="4">
        <v>51.643578983763057</v>
      </c>
      <c r="K5" s="9">
        <f t="shared" si="2"/>
        <v>8789.1763599999831</v>
      </c>
      <c r="M5" s="4">
        <v>13051.5962055132</v>
      </c>
      <c r="N5" s="3"/>
      <c r="O5" s="7">
        <f t="shared" si="1"/>
        <v>16291.35646281379</v>
      </c>
      <c r="P5" s="8">
        <v>1.8535703228071101</v>
      </c>
      <c r="Q5" s="13" t="str">
        <f t="shared" si="3"/>
        <v/>
      </c>
    </row>
    <row r="6" spans="1:19" x14ac:dyDescent="0.25">
      <c r="A6" t="s">
        <v>7</v>
      </c>
      <c r="B6">
        <v>1112</v>
      </c>
      <c r="C6" t="s">
        <v>4</v>
      </c>
      <c r="D6" t="s">
        <v>5</v>
      </c>
      <c r="E6" s="3">
        <f t="shared" si="0"/>
        <v>1.3902318565114877</v>
      </c>
      <c r="G6" s="4">
        <v>66.539999999999964</v>
      </c>
      <c r="H6" s="4">
        <v>6156.6319920370697</v>
      </c>
      <c r="I6" s="4">
        <v>0.21036036575902919</v>
      </c>
      <c r="J6" s="4">
        <v>30.445167597158722</v>
      </c>
      <c r="K6" s="9">
        <f t="shared" si="2"/>
        <v>6253.8275199999871</v>
      </c>
      <c r="M6" s="4">
        <v>8625.9783738295391</v>
      </c>
      <c r="N6" s="3"/>
      <c r="O6" s="7">
        <f t="shared" si="1"/>
        <v>14909.976905857935</v>
      </c>
      <c r="P6" s="8">
        <v>2.3841362522671501</v>
      </c>
      <c r="Q6" s="13" t="str">
        <f t="shared" si="3"/>
        <v/>
      </c>
    </row>
    <row r="7" spans="1:19" x14ac:dyDescent="0.25">
      <c r="A7" t="s">
        <v>7</v>
      </c>
      <c r="B7">
        <v>112</v>
      </c>
      <c r="C7" t="s">
        <v>4</v>
      </c>
      <c r="D7" t="s">
        <v>5</v>
      </c>
      <c r="E7" s="3">
        <f t="shared" si="0"/>
        <v>3.5733057358983253</v>
      </c>
      <c r="G7" s="4">
        <v>29.889999999999972</v>
      </c>
      <c r="H7" s="4">
        <v>4504.0585589247803</v>
      </c>
      <c r="I7" s="4">
        <v>27.708298864761449</v>
      </c>
      <c r="J7" s="4">
        <v>280.01774221043939</v>
      </c>
      <c r="K7" s="9">
        <f t="shared" si="2"/>
        <v>4841.6745999999821</v>
      </c>
      <c r="M7" s="4">
        <v>16223.278506693299</v>
      </c>
      <c r="N7" s="3"/>
      <c r="O7" s="7">
        <f t="shared" si="1"/>
        <v>17523.139263372024</v>
      </c>
      <c r="P7" s="8">
        <v>3.6192310948307198</v>
      </c>
      <c r="Q7" s="13" t="str">
        <f t="shared" si="3"/>
        <v/>
      </c>
    </row>
    <row r="8" spans="1:19" x14ac:dyDescent="0.25">
      <c r="A8" t="s">
        <v>7</v>
      </c>
      <c r="B8">
        <v>1121</v>
      </c>
      <c r="C8" t="s">
        <v>4</v>
      </c>
      <c r="D8" t="s">
        <v>5</v>
      </c>
      <c r="E8" s="3">
        <f t="shared" si="0"/>
        <v>1.4282433471428584</v>
      </c>
      <c r="G8" s="4">
        <v>204.76399999999899</v>
      </c>
      <c r="H8" s="4">
        <v>3246.278338467383</v>
      </c>
      <c r="I8" s="4">
        <v>3.6155520866797222</v>
      </c>
      <c r="J8" s="4">
        <v>19.43534944593431</v>
      </c>
      <c r="K8" s="9">
        <f t="shared" si="2"/>
        <v>3474.0932399999961</v>
      </c>
      <c r="M8" s="4">
        <v>4846.4033281040602</v>
      </c>
      <c r="N8" s="3"/>
      <c r="O8" s="7">
        <f t="shared" si="1"/>
        <v>8301.3139668345721</v>
      </c>
      <c r="P8" s="8">
        <v>2.38949083785517</v>
      </c>
      <c r="Q8" s="13" t="str">
        <f t="shared" si="3"/>
        <v/>
      </c>
    </row>
    <row r="9" spans="1:19" x14ac:dyDescent="0.25">
      <c r="A9" t="s">
        <v>7</v>
      </c>
      <c r="B9">
        <v>1122</v>
      </c>
      <c r="C9" t="s">
        <v>4</v>
      </c>
      <c r="D9" t="s">
        <v>5</v>
      </c>
      <c r="E9" s="3">
        <f t="shared" si="0"/>
        <v>1.5416883930062919</v>
      </c>
      <c r="G9" s="4">
        <v>37.42199999999994</v>
      </c>
      <c r="H9" s="4">
        <v>6416.1104449007098</v>
      </c>
      <c r="I9" s="4">
        <v>21.375972451253652</v>
      </c>
      <c r="J9" s="4">
        <v>3.7984626480269967</v>
      </c>
      <c r="K9" s="9">
        <f t="shared" si="2"/>
        <v>6478.7068799999897</v>
      </c>
      <c r="M9" s="4">
        <v>9962.0200897671803</v>
      </c>
      <c r="N9" s="3"/>
      <c r="O9" s="7">
        <f t="shared" si="1"/>
        <v>11548.090874702661</v>
      </c>
      <c r="P9" s="8">
        <v>1.7824684907959101</v>
      </c>
      <c r="Q9" s="13" t="str">
        <f t="shared" si="3"/>
        <v/>
      </c>
    </row>
    <row r="10" spans="1:19" x14ac:dyDescent="0.25">
      <c r="A10" t="s">
        <v>7</v>
      </c>
      <c r="B10">
        <v>1123</v>
      </c>
      <c r="C10" t="s">
        <v>4</v>
      </c>
      <c r="D10" t="s">
        <v>5</v>
      </c>
      <c r="E10" s="3">
        <f t="shared" si="0"/>
        <v>3.6232970923317014</v>
      </c>
      <c r="G10" s="4">
        <v>112.2059999999999</v>
      </c>
      <c r="H10" s="4">
        <v>824.74701612936803</v>
      </c>
      <c r="I10" s="4">
        <v>0.38252914207815703</v>
      </c>
      <c r="J10" s="4">
        <v>0.42441472855259499</v>
      </c>
      <c r="K10" s="9">
        <f t="shared" si="2"/>
        <v>937.75995999999873</v>
      </c>
      <c r="M10" s="4">
        <v>3101.8954821790098</v>
      </c>
      <c r="N10" s="3"/>
      <c r="O10" s="7">
        <f t="shared" si="1"/>
        <v>3378.1261966483544</v>
      </c>
      <c r="P10" s="8">
        <v>3.60233571568609</v>
      </c>
      <c r="Q10" s="13" t="str">
        <f t="shared" si="3"/>
        <v/>
      </c>
    </row>
    <row r="11" spans="1:19" x14ac:dyDescent="0.25">
      <c r="A11" t="s">
        <v>7</v>
      </c>
      <c r="B11">
        <v>1124</v>
      </c>
      <c r="C11" t="s">
        <v>4</v>
      </c>
      <c r="D11" t="s">
        <v>5</v>
      </c>
      <c r="E11" s="3">
        <f t="shared" si="0"/>
        <v>1.8357651277398577</v>
      </c>
      <c r="G11" s="4">
        <v>146.39599999999939</v>
      </c>
      <c r="H11" s="4">
        <v>4898.9866079050671</v>
      </c>
      <c r="I11" s="4">
        <v>0.90005356466715492</v>
      </c>
      <c r="J11" s="4">
        <v>66.117378530257298</v>
      </c>
      <c r="K11" s="9">
        <f t="shared" si="2"/>
        <v>5112.4000399999913</v>
      </c>
      <c r="M11" s="4">
        <v>9141.4370630038102</v>
      </c>
      <c r="N11" s="3"/>
      <c r="O11" s="7">
        <f t="shared" si="1"/>
        <v>11964.503188539771</v>
      </c>
      <c r="P11" s="8">
        <v>2.3402908800031601</v>
      </c>
      <c r="Q11" s="13" t="str">
        <f t="shared" si="3"/>
        <v/>
      </c>
    </row>
    <row r="12" spans="1:19" x14ac:dyDescent="0.25">
      <c r="A12" t="s">
        <v>7</v>
      </c>
      <c r="B12">
        <v>1131</v>
      </c>
      <c r="C12" t="s">
        <v>4</v>
      </c>
      <c r="D12" t="s">
        <v>5</v>
      </c>
      <c r="E12" s="3">
        <f t="shared" si="0"/>
        <v>1.9933837437108766</v>
      </c>
      <c r="G12" s="4">
        <v>134.37799999999942</v>
      </c>
      <c r="H12" s="4">
        <v>6147.21120444795</v>
      </c>
      <c r="I12" s="4">
        <v>0</v>
      </c>
      <c r="J12" s="4">
        <v>59.4707955520444</v>
      </c>
      <c r="K12" s="9">
        <f t="shared" si="2"/>
        <v>6341.059999999994</v>
      </c>
      <c r="M12" s="4">
        <v>12388.1288841039</v>
      </c>
      <c r="N12" s="3"/>
      <c r="O12" s="7">
        <f t="shared" si="1"/>
        <v>20576.927444027762</v>
      </c>
      <c r="P12" s="8">
        <v>3.2450296076725</v>
      </c>
      <c r="Q12" s="13" t="str">
        <f t="shared" si="3"/>
        <v/>
      </c>
    </row>
    <row r="13" spans="1:19" x14ac:dyDescent="0.25">
      <c r="A13" t="s">
        <v>7</v>
      </c>
      <c r="B13">
        <v>1211</v>
      </c>
      <c r="C13" t="s">
        <v>4</v>
      </c>
      <c r="D13" t="s">
        <v>5</v>
      </c>
      <c r="E13" s="3">
        <f t="shared" si="0"/>
        <v>2.0982383293197877</v>
      </c>
      <c r="G13" s="4">
        <v>43.557999999999957</v>
      </c>
      <c r="H13" s="4">
        <v>1725.4055904089419</v>
      </c>
      <c r="I13" s="4">
        <v>0</v>
      </c>
      <c r="J13" s="4">
        <v>5.2791695910493193</v>
      </c>
      <c r="K13" s="9">
        <f t="shared" si="2"/>
        <v>1774.2427599999912</v>
      </c>
      <c r="M13" s="4">
        <v>3663.8701434186801</v>
      </c>
      <c r="N13" s="3"/>
      <c r="O13" s="7">
        <f t="shared" si="1"/>
        <v>7611.916890710464</v>
      </c>
      <c r="P13" s="8">
        <v>4.2902341564073803</v>
      </c>
      <c r="Q13" s="13" t="str">
        <f t="shared" si="3"/>
        <v/>
      </c>
    </row>
    <row r="14" spans="1:19" x14ac:dyDescent="0.25">
      <c r="A14" t="s">
        <v>7</v>
      </c>
      <c r="B14">
        <v>1212</v>
      </c>
      <c r="C14" t="s">
        <v>4</v>
      </c>
      <c r="D14" t="s">
        <v>5</v>
      </c>
      <c r="E14" s="3">
        <f t="shared" si="0"/>
        <v>2.3798524490320476</v>
      </c>
      <c r="G14" s="4">
        <v>41.094000000000008</v>
      </c>
      <c r="H14" s="4">
        <v>1506.2651064566639</v>
      </c>
      <c r="I14" s="4">
        <v>0</v>
      </c>
      <c r="J14" s="4">
        <v>0.3919335433310393</v>
      </c>
      <c r="K14" s="9">
        <f t="shared" si="2"/>
        <v>1547.7510399999951</v>
      </c>
      <c r="M14" s="4">
        <v>3625.78270249241</v>
      </c>
      <c r="N14" s="3"/>
      <c r="O14" s="7">
        <f t="shared" si="1"/>
        <v>4322.4869831493297</v>
      </c>
      <c r="P14" s="8">
        <v>2.7927534024783101</v>
      </c>
      <c r="Q14" s="13" t="str">
        <f t="shared" si="3"/>
        <v/>
      </c>
    </row>
    <row r="15" spans="1:19" x14ac:dyDescent="0.25">
      <c r="A15" t="s">
        <v>7</v>
      </c>
      <c r="B15">
        <v>1213</v>
      </c>
      <c r="C15" t="s">
        <v>4</v>
      </c>
      <c r="D15" t="s">
        <v>5</v>
      </c>
      <c r="E15" s="3">
        <f t="shared" si="0"/>
        <v>1.785740118123631</v>
      </c>
      <c r="G15" s="4">
        <v>540.40199999999913</v>
      </c>
      <c r="H15" s="4">
        <v>6611.1608079785301</v>
      </c>
      <c r="I15" s="4">
        <v>0</v>
      </c>
      <c r="J15" s="4">
        <v>19.636792021457861</v>
      </c>
      <c r="K15" s="9">
        <f t="shared" si="2"/>
        <v>7171.1995999999872</v>
      </c>
      <c r="M15" s="4">
        <v>12346.2170821739</v>
      </c>
      <c r="N15" s="3"/>
      <c r="O15" s="7">
        <f t="shared" si="1"/>
        <v>13858.238502834745</v>
      </c>
      <c r="P15" s="8">
        <v>1.93248539656249</v>
      </c>
      <c r="Q15" s="13" t="str">
        <f t="shared" si="3"/>
        <v/>
      </c>
    </row>
    <row r="16" spans="1:19" x14ac:dyDescent="0.25">
      <c r="A16" t="s">
        <v>7</v>
      </c>
      <c r="B16">
        <v>1214</v>
      </c>
      <c r="C16" t="s">
        <v>4</v>
      </c>
      <c r="D16" t="s">
        <v>5</v>
      </c>
      <c r="E16" s="3">
        <f t="shared" si="0"/>
        <v>3.5039580779528867</v>
      </c>
      <c r="G16" s="4">
        <v>94.485999999999805</v>
      </c>
      <c r="H16" s="4">
        <v>951.92458654794405</v>
      </c>
      <c r="I16" s="4">
        <v>0</v>
      </c>
      <c r="J16" s="4">
        <v>1.2180534520553139</v>
      </c>
      <c r="K16" s="9">
        <f t="shared" si="2"/>
        <v>1047.6286399999992</v>
      </c>
      <c r="M16" s="4">
        <v>3429.9898446366301</v>
      </c>
      <c r="N16" s="3"/>
      <c r="O16" s="7">
        <f t="shared" si="1"/>
        <v>8100.0563664588781</v>
      </c>
      <c r="P16" s="8">
        <v>7.7318011909820301</v>
      </c>
      <c r="Q16" s="13" t="str">
        <f t="shared" si="3"/>
        <v/>
      </c>
    </row>
    <row r="17" spans="1:17" x14ac:dyDescent="0.25">
      <c r="A17" t="s">
        <v>7</v>
      </c>
      <c r="B17">
        <v>1215</v>
      </c>
      <c r="C17" t="s">
        <v>4</v>
      </c>
      <c r="D17" t="s">
        <v>5</v>
      </c>
      <c r="E17" s="3">
        <f t="shared" si="0"/>
        <v>1.8795761943796117</v>
      </c>
      <c r="G17" s="4">
        <v>59.801999999999957</v>
      </c>
      <c r="H17" s="4">
        <v>5000.4580923492204</v>
      </c>
      <c r="I17" s="4">
        <v>0</v>
      </c>
      <c r="J17" s="4">
        <v>34.583027650773602</v>
      </c>
      <c r="K17" s="9">
        <f t="shared" si="2"/>
        <v>5094.8431199999941</v>
      </c>
      <c r="M17" s="4">
        <v>9458.5439913724804</v>
      </c>
      <c r="N17" s="3"/>
      <c r="O17" s="7">
        <f t="shared" si="1"/>
        <v>10836.174659637332</v>
      </c>
      <c r="P17" s="8">
        <v>2.12689074116915</v>
      </c>
      <c r="Q17" s="13" t="str">
        <f t="shared" si="3"/>
        <v/>
      </c>
    </row>
    <row r="18" spans="1:17" x14ac:dyDescent="0.25">
      <c r="A18" t="s">
        <v>7</v>
      </c>
      <c r="B18">
        <v>1216</v>
      </c>
      <c r="C18" t="s">
        <v>4</v>
      </c>
      <c r="D18" t="s">
        <v>5</v>
      </c>
      <c r="E18" s="3">
        <f t="shared" si="0"/>
        <v>3.2687789321914864</v>
      </c>
      <c r="G18" s="4">
        <v>36.413999999999923</v>
      </c>
      <c r="H18" s="4">
        <v>1071.7220852997409</v>
      </c>
      <c r="I18" s="4">
        <v>0</v>
      </c>
      <c r="J18" s="4">
        <v>1.513874700257831</v>
      </c>
      <c r="K18" s="9">
        <f t="shared" si="2"/>
        <v>1109.6499599999988</v>
      </c>
      <c r="M18" s="4">
        <v>3539.6365735921199</v>
      </c>
      <c r="N18" s="3"/>
      <c r="O18" s="7">
        <f t="shared" si="1"/>
        <v>6332.8347997497713</v>
      </c>
      <c r="P18" s="8">
        <v>5.7070563042689404</v>
      </c>
      <c r="Q18" s="13" t="str">
        <f t="shared" si="3"/>
        <v/>
      </c>
    </row>
    <row r="19" spans="1:17" x14ac:dyDescent="0.25">
      <c r="A19" t="s">
        <v>7</v>
      </c>
      <c r="B19">
        <v>1221</v>
      </c>
      <c r="C19" t="s">
        <v>4</v>
      </c>
      <c r="D19" t="s">
        <v>5</v>
      </c>
      <c r="E19" s="3">
        <f t="shared" si="0"/>
        <v>1.7413894069945137</v>
      </c>
      <c r="G19" s="4">
        <v>42.667999999999957</v>
      </c>
      <c r="H19" s="4">
        <v>9257.4386676067297</v>
      </c>
      <c r="I19" s="4">
        <v>2.5022931086716911</v>
      </c>
      <c r="J19" s="4">
        <v>56.796239284588118</v>
      </c>
      <c r="K19" s="9">
        <f t="shared" si="2"/>
        <v>9359.4051999999883</v>
      </c>
      <c r="M19" s="4">
        <v>16167.8310983844</v>
      </c>
      <c r="N19" s="3"/>
      <c r="O19" s="7">
        <f t="shared" si="1"/>
        <v>18531.352410656989</v>
      </c>
      <c r="P19" s="8">
        <v>1.9799711642634099</v>
      </c>
      <c r="Q19" s="13" t="str">
        <f t="shared" si="3"/>
        <v/>
      </c>
    </row>
    <row r="20" spans="1:17" x14ac:dyDescent="0.25">
      <c r="A20" t="s">
        <v>7</v>
      </c>
      <c r="B20">
        <v>1222</v>
      </c>
      <c r="C20" t="s">
        <v>4</v>
      </c>
      <c r="D20" t="s">
        <v>5</v>
      </c>
      <c r="E20" s="3">
        <f t="shared" si="0"/>
        <v>2.6395307515207609</v>
      </c>
      <c r="G20" s="4">
        <v>68.933999999999898</v>
      </c>
      <c r="H20" s="4">
        <v>1752.0864979866992</v>
      </c>
      <c r="I20" s="4">
        <v>6.41182862152636</v>
      </c>
      <c r="J20" s="4">
        <v>12.813833391764138</v>
      </c>
      <c r="K20" s="9">
        <f t="shared" si="2"/>
        <v>1840.2461599999897</v>
      </c>
      <c r="M20" s="4">
        <v>4710.5444095802104</v>
      </c>
      <c r="N20" s="3"/>
      <c r="O20" s="7">
        <f t="shared" si="1"/>
        <v>5424.4350709829614</v>
      </c>
      <c r="P20" s="8">
        <v>2.9476681918374399</v>
      </c>
      <c r="Q20" s="13" t="str">
        <f t="shared" si="3"/>
        <v/>
      </c>
    </row>
    <row r="21" spans="1:17" x14ac:dyDescent="0.25">
      <c r="A21" t="s">
        <v>7</v>
      </c>
      <c r="B21">
        <v>1311</v>
      </c>
      <c r="C21" t="s">
        <v>4</v>
      </c>
      <c r="D21" t="s">
        <v>5</v>
      </c>
      <c r="E21" s="3">
        <f t="shared" si="0"/>
        <v>1.4982526869523416</v>
      </c>
      <c r="G21" s="4">
        <v>2.5719999999999925</v>
      </c>
      <c r="H21" s="4">
        <v>4235.0330467143895</v>
      </c>
      <c r="I21" s="4">
        <v>6.0159988987359494</v>
      </c>
      <c r="J21" s="4">
        <v>28.533154386869121</v>
      </c>
      <c r="K21" s="9">
        <f t="shared" si="2"/>
        <v>4272.1541999999945</v>
      </c>
      <c r="M21" s="4">
        <v>6356.7351280865296</v>
      </c>
      <c r="N21" s="3"/>
      <c r="O21" s="7">
        <f t="shared" si="1"/>
        <v>12481.897877153453</v>
      </c>
      <c r="P21" s="8">
        <v>2.9216871144663901</v>
      </c>
      <c r="Q21" s="13" t="str">
        <f t="shared" si="3"/>
        <v/>
      </c>
    </row>
    <row r="22" spans="1:17" x14ac:dyDescent="0.25">
      <c r="A22" t="s">
        <v>7</v>
      </c>
      <c r="B22">
        <v>1321</v>
      </c>
      <c r="C22" t="s">
        <v>4</v>
      </c>
      <c r="D22" t="s">
        <v>5</v>
      </c>
      <c r="E22" s="3">
        <f t="shared" si="0"/>
        <v>2.645518772077569</v>
      </c>
      <c r="G22" s="4">
        <v>15.909999999999913</v>
      </c>
      <c r="H22" s="4">
        <v>2292.1890484541141</v>
      </c>
      <c r="I22" s="4">
        <v>0.61117529845087393</v>
      </c>
      <c r="J22" s="4">
        <v>26.893336247431513</v>
      </c>
      <c r="K22" s="9">
        <f t="shared" si="2"/>
        <v>2335.6035599999959</v>
      </c>
      <c r="M22" s="4">
        <v>6081.5560325610604</v>
      </c>
      <c r="N22" s="3"/>
      <c r="O22" s="7">
        <f t="shared" si="1"/>
        <v>8872.2727091137276</v>
      </c>
      <c r="P22" s="8">
        <v>3.7987066217323902</v>
      </c>
      <c r="Q22" s="13" t="str">
        <f t="shared" si="3"/>
        <v/>
      </c>
    </row>
    <row r="23" spans="1:17" x14ac:dyDescent="0.25">
      <c r="A23" t="s">
        <v>7</v>
      </c>
      <c r="B23">
        <v>1322</v>
      </c>
      <c r="C23" t="s">
        <v>4</v>
      </c>
      <c r="D23" t="s">
        <v>5</v>
      </c>
      <c r="E23" s="3">
        <f t="shared" si="0"/>
        <v>1.257915062899488</v>
      </c>
      <c r="G23" s="4">
        <v>23.299999999999979</v>
      </c>
      <c r="H23" s="4">
        <v>7152.2887896788898</v>
      </c>
      <c r="I23" s="4">
        <v>0.3327431203993898</v>
      </c>
      <c r="J23" s="4">
        <v>57.355467200700403</v>
      </c>
      <c r="K23" s="9">
        <f t="shared" si="2"/>
        <v>7233.27699999999</v>
      </c>
      <c r="M23" s="4">
        <v>9020.6903653274494</v>
      </c>
      <c r="N23" s="3"/>
      <c r="O23" s="7">
        <f t="shared" si="1"/>
        <v>22878.132601101985</v>
      </c>
      <c r="P23" s="8">
        <v>3.1629001075310699</v>
      </c>
      <c r="Q23" s="13" t="str">
        <f t="shared" si="3"/>
        <v/>
      </c>
    </row>
    <row r="24" spans="1:17" x14ac:dyDescent="0.25">
      <c r="A24" t="s">
        <v>7</v>
      </c>
      <c r="B24">
        <v>1331</v>
      </c>
      <c r="C24" t="s">
        <v>4</v>
      </c>
      <c r="D24" t="s">
        <v>5</v>
      </c>
      <c r="E24" s="3">
        <f t="shared" si="0"/>
        <v>2.4474404914524039</v>
      </c>
      <c r="G24" s="4">
        <v>84.41</v>
      </c>
      <c r="H24" s="4">
        <v>4739.7387168205696</v>
      </c>
      <c r="I24" s="4">
        <v>78.399371872167407</v>
      </c>
      <c r="J24" s="4">
        <v>142.31523130725259</v>
      </c>
      <c r="K24" s="9">
        <f t="shared" si="2"/>
        <v>5044.8633199999895</v>
      </c>
      <c r="M24" s="4">
        <v>11876.516251675699</v>
      </c>
      <c r="N24" s="3"/>
      <c r="O24" s="7">
        <f t="shared" si="1"/>
        <v>15730.262096806275</v>
      </c>
      <c r="P24" s="8">
        <v>3.11807498023679</v>
      </c>
      <c r="Q24" s="13" t="str">
        <f t="shared" si="3"/>
        <v/>
      </c>
    </row>
    <row r="25" spans="1:17" x14ac:dyDescent="0.25">
      <c r="A25" t="s">
        <v>7</v>
      </c>
      <c r="B25">
        <v>1411</v>
      </c>
      <c r="C25" t="s">
        <v>4</v>
      </c>
      <c r="D25" t="s">
        <v>5</v>
      </c>
      <c r="E25" s="3">
        <f t="shared" si="0"/>
        <v>3.5259613504651468</v>
      </c>
      <c r="G25" s="4">
        <v>68.419999999999902</v>
      </c>
      <c r="H25" s="4">
        <v>4703.9853393221902</v>
      </c>
      <c r="I25" s="4">
        <v>391.71308123544202</v>
      </c>
      <c r="J25" s="4">
        <v>134.1488994423585</v>
      </c>
      <c r="K25" s="9">
        <f t="shared" si="2"/>
        <v>5298.2673199999908</v>
      </c>
      <c r="M25" s="4">
        <v>18035.655684512501</v>
      </c>
      <c r="N25" s="3"/>
      <c r="O25" s="7">
        <f t="shared" si="1"/>
        <v>23262.634801384473</v>
      </c>
      <c r="P25" s="8">
        <v>4.3906117597298797</v>
      </c>
      <c r="Q25" s="13" t="str">
        <f t="shared" si="3"/>
        <v/>
      </c>
    </row>
    <row r="26" spans="1:17" x14ac:dyDescent="0.25">
      <c r="A26" t="s">
        <v>7</v>
      </c>
      <c r="B26">
        <v>1412</v>
      </c>
      <c r="C26" t="s">
        <v>4</v>
      </c>
      <c r="D26" t="s">
        <v>5</v>
      </c>
      <c r="E26" s="3">
        <f t="shared" si="0"/>
        <v>5.0881475920102259</v>
      </c>
      <c r="G26" s="4">
        <v>46.775999999999947</v>
      </c>
      <c r="H26" s="4">
        <v>2902.7328665108862</v>
      </c>
      <c r="I26" s="4">
        <v>1063.2979670151281</v>
      </c>
      <c r="J26" s="4">
        <v>34.480686473978899</v>
      </c>
      <c r="K26" s="9">
        <f t="shared" si="2"/>
        <v>4047.287519999993</v>
      </c>
      <c r="M26" s="4">
        <v>20226.5262354437</v>
      </c>
      <c r="N26" s="3"/>
      <c r="O26" s="7">
        <f t="shared" si="1"/>
        <v>26382.315499287717</v>
      </c>
      <c r="P26" s="8">
        <v>6.5185177403180301</v>
      </c>
      <c r="Q26" s="13" t="str">
        <f t="shared" si="3"/>
        <v/>
      </c>
    </row>
    <row r="27" spans="1:17" x14ac:dyDescent="0.25">
      <c r="A27" t="s">
        <v>7</v>
      </c>
      <c r="B27">
        <v>1421</v>
      </c>
      <c r="C27" t="s">
        <v>4</v>
      </c>
      <c r="D27" t="s">
        <v>5</v>
      </c>
      <c r="E27" s="3">
        <f t="shared" si="0"/>
        <v>2.7431031896282634</v>
      </c>
      <c r="G27" s="4">
        <v>36.383999999999901</v>
      </c>
      <c r="H27" s="4">
        <v>4170.10407650457</v>
      </c>
      <c r="I27" s="4">
        <v>596.42805464394701</v>
      </c>
      <c r="J27" s="4">
        <v>90.668828851467296</v>
      </c>
      <c r="K27" s="9">
        <f t="shared" si="2"/>
        <v>4893.5849599999838</v>
      </c>
      <c r="M27" s="4">
        <v>13111.4734924191</v>
      </c>
      <c r="N27" s="3"/>
      <c r="O27" s="7">
        <f t="shared" si="1"/>
        <v>22496.382032973252</v>
      </c>
      <c r="P27" s="8">
        <v>4.5971168819705799</v>
      </c>
      <c r="Q27" s="13" t="str">
        <f t="shared" si="3"/>
        <v/>
      </c>
    </row>
    <row r="28" spans="1:17" x14ac:dyDescent="0.25">
      <c r="A28" t="s">
        <v>7</v>
      </c>
      <c r="B28">
        <v>1511</v>
      </c>
      <c r="C28" t="s">
        <v>4</v>
      </c>
      <c r="D28" t="s">
        <v>5</v>
      </c>
      <c r="E28" s="3">
        <f t="shared" si="0"/>
        <v>1.5240313384730317</v>
      </c>
      <c r="G28" s="4">
        <v>95.799999999999898</v>
      </c>
      <c r="H28" s="4">
        <v>18069.537450209471</v>
      </c>
      <c r="I28" s="4">
        <v>17.899154638592698</v>
      </c>
      <c r="J28" s="4">
        <v>320.52563515185699</v>
      </c>
      <c r="K28" s="9">
        <f t="shared" si="2"/>
        <v>18503.76223999992</v>
      </c>
      <c r="M28" s="4">
        <v>27661.620218432701</v>
      </c>
      <c r="N28" s="3"/>
      <c r="O28" s="7">
        <f t="shared" si="1"/>
        <v>53177.636162801056</v>
      </c>
      <c r="P28" s="8">
        <v>2.8738823744636099</v>
      </c>
      <c r="Q28" s="13" t="str">
        <f t="shared" si="3"/>
        <v/>
      </c>
    </row>
    <row r="29" spans="1:17" x14ac:dyDescent="0.25">
      <c r="A29" t="s">
        <v>7</v>
      </c>
      <c r="B29">
        <v>1512</v>
      </c>
      <c r="C29" t="s">
        <v>4</v>
      </c>
      <c r="D29" t="s">
        <v>5</v>
      </c>
      <c r="E29" s="3">
        <f t="shared" si="0"/>
        <v>4.0561208289606689</v>
      </c>
      <c r="G29" s="4">
        <v>31.769999999999971</v>
      </c>
      <c r="H29" s="4">
        <v>714.54591137703699</v>
      </c>
      <c r="I29" s="4">
        <v>22.282054933667851</v>
      </c>
      <c r="J29" s="4">
        <v>68.949193689293296</v>
      </c>
      <c r="K29" s="9">
        <f t="shared" si="2"/>
        <v>837.54715999999814</v>
      </c>
      <c r="M29" s="4">
        <v>3020.43326151358</v>
      </c>
      <c r="N29" s="3"/>
      <c r="O29" s="7">
        <f t="shared" si="1"/>
        <v>3181.386911376514</v>
      </c>
      <c r="P29" s="8">
        <v>3.79845704613997</v>
      </c>
      <c r="Q29" s="13" t="str">
        <f t="shared" si="3"/>
        <v/>
      </c>
    </row>
    <row r="30" spans="1:17" x14ac:dyDescent="0.25">
      <c r="A30" t="s">
        <v>7</v>
      </c>
      <c r="B30">
        <v>1521</v>
      </c>
      <c r="C30" t="s">
        <v>4</v>
      </c>
      <c r="D30" t="s">
        <v>5</v>
      </c>
      <c r="E30" s="3">
        <f t="shared" si="0"/>
        <v>2.7732892265398745</v>
      </c>
      <c r="G30" s="4">
        <v>34.851999999999961</v>
      </c>
      <c r="H30" s="4">
        <v>4069.9706096444802</v>
      </c>
      <c r="I30" s="4">
        <v>23.481161297152191</v>
      </c>
      <c r="J30" s="4">
        <v>74.074589058352501</v>
      </c>
      <c r="K30" s="9">
        <f t="shared" si="2"/>
        <v>4202.3783599999852</v>
      </c>
      <c r="M30" s="4">
        <v>11387.177695713001</v>
      </c>
      <c r="N30" s="3"/>
      <c r="O30" s="7">
        <f t="shared" si="1"/>
        <v>16724.025366919239</v>
      </c>
      <c r="P30" s="8">
        <v>3.9796572165194801</v>
      </c>
      <c r="Q30" s="13" t="str">
        <f t="shared" si="3"/>
        <v/>
      </c>
    </row>
    <row r="31" spans="1:17" x14ac:dyDescent="0.25">
      <c r="A31" t="s">
        <v>7</v>
      </c>
      <c r="B31">
        <v>1522</v>
      </c>
      <c r="C31" t="s">
        <v>4</v>
      </c>
      <c r="D31" t="s">
        <v>5</v>
      </c>
      <c r="E31" s="3">
        <f t="shared" si="0"/>
        <v>4.0414317262078434</v>
      </c>
      <c r="G31" s="4">
        <v>5.7359999999999998</v>
      </c>
      <c r="H31" s="4">
        <v>1520.2879764946729</v>
      </c>
      <c r="I31" s="4">
        <v>5.8040346161495497</v>
      </c>
      <c r="J31" s="4">
        <v>21.149948889169352</v>
      </c>
      <c r="K31" s="9">
        <f t="shared" si="2"/>
        <v>1552.9779599999918</v>
      </c>
      <c r="M31" s="4">
        <v>6173.3326708156101</v>
      </c>
      <c r="N31" s="3"/>
      <c r="O31" s="7">
        <f t="shared" si="1"/>
        <v>4672.2391762036877</v>
      </c>
      <c r="P31" s="8">
        <v>3.0085676014382798</v>
      </c>
      <c r="Q31" s="13" t="str">
        <f t="shared" si="3"/>
        <v/>
      </c>
    </row>
    <row r="32" spans="1:17" x14ac:dyDescent="0.25">
      <c r="A32" t="s">
        <v>7</v>
      </c>
      <c r="B32">
        <v>1611</v>
      </c>
      <c r="C32" t="s">
        <v>4</v>
      </c>
      <c r="D32" t="s">
        <v>5</v>
      </c>
      <c r="E32" s="3">
        <f t="shared" si="0"/>
        <v>2.0130673274212159</v>
      </c>
      <c r="G32" s="4">
        <v>6.2339999999999893</v>
      </c>
      <c r="H32" s="4">
        <v>3211.9884718695348</v>
      </c>
      <c r="I32" s="4">
        <v>0</v>
      </c>
      <c r="J32" s="4">
        <v>155.32796813045871</v>
      </c>
      <c r="K32" s="9">
        <f t="shared" si="2"/>
        <v>3373.5504399999936</v>
      </c>
      <c r="M32" s="4">
        <v>6472.1830487741599</v>
      </c>
      <c r="N32" s="3"/>
      <c r="O32" s="7">
        <f t="shared" si="1"/>
        <v>8759.115108968761</v>
      </c>
      <c r="P32" s="8">
        <v>2.5964085211569499</v>
      </c>
      <c r="Q32" s="13" t="str">
        <f t="shared" si="3"/>
        <v/>
      </c>
    </row>
    <row r="33" spans="1:17" x14ac:dyDescent="0.25">
      <c r="A33" t="s">
        <v>7</v>
      </c>
      <c r="B33">
        <v>1612</v>
      </c>
      <c r="C33" t="s">
        <v>4</v>
      </c>
      <c r="D33" t="s">
        <v>5</v>
      </c>
      <c r="E33" s="3">
        <f t="shared" si="0"/>
        <v>1.6660636530457407</v>
      </c>
      <c r="G33" s="4">
        <v>26.7579999999999</v>
      </c>
      <c r="H33" s="4">
        <v>5313.5748916207203</v>
      </c>
      <c r="I33" s="4">
        <v>4.0834666004868794</v>
      </c>
      <c r="J33" s="4">
        <v>98.416561778786004</v>
      </c>
      <c r="K33" s="9">
        <f t="shared" si="2"/>
        <v>5442.8329199999926</v>
      </c>
      <c r="M33" s="4">
        <v>8886.3153099472402</v>
      </c>
      <c r="N33" s="3"/>
      <c r="O33" s="7">
        <f t="shared" si="1"/>
        <v>10981.567859776475</v>
      </c>
      <c r="P33" s="8">
        <v>2.0176198720750902</v>
      </c>
      <c r="Q33" s="13" t="str">
        <f t="shared" si="3"/>
        <v/>
      </c>
    </row>
    <row r="34" spans="1:17" x14ac:dyDescent="0.25">
      <c r="A34" t="s">
        <v>7</v>
      </c>
      <c r="B34">
        <v>1613</v>
      </c>
      <c r="C34" t="s">
        <v>4</v>
      </c>
      <c r="D34" t="s">
        <v>5</v>
      </c>
      <c r="E34" s="3">
        <f t="shared" si="0"/>
        <v>1.5525676021035699</v>
      </c>
      <c r="G34" s="4">
        <v>234.10799999999961</v>
      </c>
      <c r="H34" s="4">
        <v>9601.602391329001</v>
      </c>
      <c r="I34" s="4">
        <v>43.476172070043596</v>
      </c>
      <c r="J34" s="4">
        <v>93.669116600950602</v>
      </c>
      <c r="K34" s="9">
        <f t="shared" si="2"/>
        <v>9972.8556799999969</v>
      </c>
      <c r="M34" s="4">
        <v>15208.744497277001</v>
      </c>
      <c r="N34" s="3"/>
      <c r="O34" s="7">
        <f t="shared" si="1"/>
        <v>17515.906807606538</v>
      </c>
      <c r="P34" s="8">
        <v>1.75635819565039</v>
      </c>
      <c r="Q34" s="13" t="str">
        <f t="shared" si="3"/>
        <v/>
      </c>
    </row>
    <row r="35" spans="1:17" x14ac:dyDescent="0.25">
      <c r="A35" t="s">
        <v>7</v>
      </c>
      <c r="B35">
        <v>1614</v>
      </c>
      <c r="C35" t="s">
        <v>4</v>
      </c>
      <c r="D35" t="s">
        <v>5</v>
      </c>
      <c r="E35" s="3">
        <f t="shared" ref="E35:E66" si="4">(M35-G35)/SUM(H35:I35)</f>
        <v>2.1491576194299395</v>
      </c>
      <c r="G35" s="4">
        <v>21.30999999999991</v>
      </c>
      <c r="H35" s="4">
        <v>3088.0522457816078</v>
      </c>
      <c r="I35" s="4">
        <v>18.464167510439609</v>
      </c>
      <c r="J35" s="4">
        <v>161.02866670794421</v>
      </c>
      <c r="K35" s="9">
        <f t="shared" si="2"/>
        <v>3288.8550799999912</v>
      </c>
      <c r="M35" s="4">
        <v>6697.7034195107699</v>
      </c>
      <c r="N35" s="3"/>
      <c r="O35" s="7">
        <f t="shared" ref="O35:O66" si="5">SUM(G35:J35)*MIN(P35,$S$3)</f>
        <v>9473.5580777384002</v>
      </c>
      <c r="P35" s="8">
        <v>2.88050335064883</v>
      </c>
      <c r="Q35" s="13" t="str">
        <f t="shared" si="3"/>
        <v/>
      </c>
    </row>
    <row r="36" spans="1:17" x14ac:dyDescent="0.25">
      <c r="A36" t="s">
        <v>7</v>
      </c>
      <c r="B36">
        <v>1615</v>
      </c>
      <c r="C36" t="s">
        <v>4</v>
      </c>
      <c r="D36" t="s">
        <v>5</v>
      </c>
      <c r="E36" s="3">
        <f t="shared" si="4"/>
        <v>1.7337255580809976</v>
      </c>
      <c r="G36" s="4">
        <v>81.403999999999911</v>
      </c>
      <c r="H36" s="4">
        <v>2927.1515127415578</v>
      </c>
      <c r="I36" s="4">
        <v>53.472207868614696</v>
      </c>
      <c r="J36" s="4">
        <v>55.598879389818094</v>
      </c>
      <c r="K36" s="9">
        <f t="shared" si="2"/>
        <v>3117.6265999999905</v>
      </c>
      <c r="M36" s="4">
        <v>5248.9875234443298</v>
      </c>
      <c r="N36" s="3"/>
      <c r="O36" s="7">
        <f t="shared" si="5"/>
        <v>8140.083729752042</v>
      </c>
      <c r="P36" s="8">
        <v>2.61098738692827</v>
      </c>
      <c r="Q36" s="13" t="str">
        <f t="shared" si="3"/>
        <v/>
      </c>
    </row>
    <row r="37" spans="1:17" x14ac:dyDescent="0.25">
      <c r="A37" t="s">
        <v>7</v>
      </c>
      <c r="B37">
        <v>1616</v>
      </c>
      <c r="C37" t="s">
        <v>4</v>
      </c>
      <c r="D37" t="s">
        <v>5</v>
      </c>
      <c r="E37" s="3">
        <f t="shared" si="4"/>
        <v>2.0903378592282023</v>
      </c>
      <c r="G37" s="4">
        <v>75.059999999999903</v>
      </c>
      <c r="H37" s="4">
        <v>2972.7258827270798</v>
      </c>
      <c r="I37" s="4">
        <v>10.824464171362409</v>
      </c>
      <c r="J37" s="4">
        <v>73.853253101542194</v>
      </c>
      <c r="K37" s="9">
        <f t="shared" si="2"/>
        <v>3132.4635999999841</v>
      </c>
      <c r="M37" s="4">
        <v>6311.6882450352496</v>
      </c>
      <c r="N37" s="3"/>
      <c r="O37" s="7">
        <f t="shared" si="5"/>
        <v>9608.3184993735722</v>
      </c>
      <c r="P37" s="8">
        <v>3.0673360416298601</v>
      </c>
      <c r="Q37" s="13" t="str">
        <f t="shared" si="3"/>
        <v/>
      </c>
    </row>
    <row r="38" spans="1:17" x14ac:dyDescent="0.25">
      <c r="A38" t="s">
        <v>7</v>
      </c>
      <c r="B38">
        <v>1617</v>
      </c>
      <c r="C38" t="s">
        <v>4</v>
      </c>
      <c r="D38" t="s">
        <v>5</v>
      </c>
      <c r="E38" s="3">
        <f t="shared" si="4"/>
        <v>3.1392417153290131</v>
      </c>
      <c r="G38" s="4">
        <v>40.441999999999979</v>
      </c>
      <c r="H38" s="4">
        <v>2015.7112468831629</v>
      </c>
      <c r="I38" s="4">
        <v>1.6921766132426561</v>
      </c>
      <c r="J38" s="4">
        <v>145.62861650358872</v>
      </c>
      <c r="K38" s="9">
        <f t="shared" si="2"/>
        <v>2203.4740399999941</v>
      </c>
      <c r="M38" s="4">
        <v>6373.5589836874797</v>
      </c>
      <c r="N38" s="3"/>
      <c r="O38" s="7">
        <f t="shared" si="5"/>
        <v>10047.58779665514</v>
      </c>
      <c r="P38" s="8">
        <v>4.5598848065644404</v>
      </c>
      <c r="Q38" s="13" t="str">
        <f t="shared" si="3"/>
        <v/>
      </c>
    </row>
    <row r="39" spans="1:17" x14ac:dyDescent="0.25">
      <c r="A39" t="s">
        <v>7</v>
      </c>
      <c r="B39">
        <v>1621</v>
      </c>
      <c r="C39" t="s">
        <v>4</v>
      </c>
      <c r="D39" t="s">
        <v>5</v>
      </c>
      <c r="E39" s="3">
        <f t="shared" si="4"/>
        <v>3.0003961132628056</v>
      </c>
      <c r="G39" s="4">
        <v>20.741999999999962</v>
      </c>
      <c r="H39" s="4">
        <v>2299.581831108359</v>
      </c>
      <c r="I39" s="4">
        <v>5.4290507171365698</v>
      </c>
      <c r="J39" s="4">
        <v>115.61751817449441</v>
      </c>
      <c r="K39" s="9">
        <f t="shared" si="2"/>
        <v>2441.3703999999898</v>
      </c>
      <c r="M39" s="4">
        <v>6936.6876908576896</v>
      </c>
      <c r="N39" s="3"/>
      <c r="O39" s="7">
        <f t="shared" si="5"/>
        <v>8204.2195191956307</v>
      </c>
      <c r="P39" s="8">
        <v>3.3604976611478801</v>
      </c>
      <c r="Q39" s="13" t="str">
        <f t="shared" si="3"/>
        <v/>
      </c>
    </row>
    <row r="40" spans="1:17" x14ac:dyDescent="0.25">
      <c r="A40" t="s">
        <v>7</v>
      </c>
      <c r="B40">
        <v>1622</v>
      </c>
      <c r="C40" t="s">
        <v>4</v>
      </c>
      <c r="D40" t="s">
        <v>5</v>
      </c>
      <c r="E40" s="3">
        <f t="shared" si="4"/>
        <v>1.6185976950619123</v>
      </c>
      <c r="G40" s="4">
        <v>44.9299999999999</v>
      </c>
      <c r="H40" s="4">
        <v>1324.887822786726</v>
      </c>
      <c r="I40" s="4">
        <v>0</v>
      </c>
      <c r="J40" s="4">
        <v>47.442737213273503</v>
      </c>
      <c r="K40" s="9">
        <f t="shared" si="2"/>
        <v>1417.2605599999993</v>
      </c>
      <c r="M40" s="4">
        <v>2189.3903761781899</v>
      </c>
      <c r="N40" s="3"/>
      <c r="O40" s="7">
        <f t="shared" si="5"/>
        <v>4889.9476524489919</v>
      </c>
      <c r="P40" s="8">
        <v>3.4502813317891201</v>
      </c>
      <c r="Q40" s="13" t="str">
        <f t="shared" si="3"/>
        <v/>
      </c>
    </row>
    <row r="41" spans="1:17" x14ac:dyDescent="0.25">
      <c r="A41" t="s">
        <v>7</v>
      </c>
      <c r="B41">
        <v>1623</v>
      </c>
      <c r="C41" t="s">
        <v>4</v>
      </c>
      <c r="D41" t="s">
        <v>5</v>
      </c>
      <c r="E41" s="3">
        <f t="shared" si="4"/>
        <v>1.6334006642622125</v>
      </c>
      <c r="G41" s="4">
        <v>26.445999999999938</v>
      </c>
      <c r="H41" s="4">
        <v>2050.659424202423</v>
      </c>
      <c r="I41" s="4">
        <v>71.187444445179608</v>
      </c>
      <c r="J41" s="4">
        <v>67.692691352389602</v>
      </c>
      <c r="K41" s="9">
        <f t="shared" si="2"/>
        <v>2215.9855599999919</v>
      </c>
      <c r="M41" s="4">
        <v>3492.2720847116898</v>
      </c>
      <c r="N41" s="3"/>
      <c r="O41" s="7">
        <f t="shared" si="5"/>
        <v>6762.9499423987936</v>
      </c>
      <c r="P41" s="8">
        <v>3.0518926045704098</v>
      </c>
      <c r="Q41" s="13" t="str">
        <f t="shared" si="3"/>
        <v/>
      </c>
    </row>
    <row r="42" spans="1:17" x14ac:dyDescent="0.25">
      <c r="A42" t="s">
        <v>7</v>
      </c>
      <c r="B42">
        <v>1711</v>
      </c>
      <c r="C42" t="s">
        <v>4</v>
      </c>
      <c r="D42" t="s">
        <v>5</v>
      </c>
      <c r="E42" s="3">
        <f t="shared" si="4"/>
        <v>2.3797943114782596</v>
      </c>
      <c r="G42" s="4">
        <v>58.44399999999996</v>
      </c>
      <c r="H42" s="4">
        <v>2472.6917898955498</v>
      </c>
      <c r="I42" s="4">
        <v>85.540812328147496</v>
      </c>
      <c r="J42" s="4">
        <v>49.655217776291195</v>
      </c>
      <c r="K42" s="9">
        <f t="shared" si="2"/>
        <v>2666.3318199999885</v>
      </c>
      <c r="M42" s="4">
        <v>6146.5113942101798</v>
      </c>
      <c r="N42" s="3"/>
      <c r="O42" s="7">
        <f t="shared" si="5"/>
        <v>10279.551365796484</v>
      </c>
      <c r="P42" s="8">
        <v>3.8553158645485199</v>
      </c>
      <c r="Q42" s="13" t="str">
        <f t="shared" si="3"/>
        <v/>
      </c>
    </row>
    <row r="43" spans="1:17" x14ac:dyDescent="0.25">
      <c r="A43" t="s">
        <v>7</v>
      </c>
      <c r="B43">
        <v>1712</v>
      </c>
      <c r="C43" t="s">
        <v>4</v>
      </c>
      <c r="D43" t="s">
        <v>5</v>
      </c>
      <c r="E43" s="3">
        <f t="shared" si="4"/>
        <v>4.1928402427808615</v>
      </c>
      <c r="G43" s="4">
        <v>11.087999999999951</v>
      </c>
      <c r="H43" s="4">
        <v>1615.8772521192532</v>
      </c>
      <c r="I43" s="4">
        <v>54.001141220269503</v>
      </c>
      <c r="J43" s="4">
        <v>97.798886660476299</v>
      </c>
      <c r="K43" s="9">
        <f t="shared" si="2"/>
        <v>1778.7652799999989</v>
      </c>
      <c r="M43" s="4">
        <v>7012.6213281441997</v>
      </c>
      <c r="N43" s="3"/>
      <c r="O43" s="7">
        <f t="shared" si="5"/>
        <v>7231.7346449739352</v>
      </c>
      <c r="P43" s="8">
        <v>4.0655924231745404</v>
      </c>
      <c r="Q43" s="13" t="str">
        <f t="shared" si="3"/>
        <v/>
      </c>
    </row>
    <row r="44" spans="1:17" x14ac:dyDescent="0.25">
      <c r="A44" t="s">
        <v>7</v>
      </c>
      <c r="B44">
        <v>1713</v>
      </c>
      <c r="C44" t="s">
        <v>4</v>
      </c>
      <c r="D44" t="s">
        <v>5</v>
      </c>
      <c r="E44" s="3">
        <f t="shared" si="4"/>
        <v>3.8390450706411547</v>
      </c>
      <c r="G44" s="4">
        <v>37.99599999999991</v>
      </c>
      <c r="H44" s="4">
        <v>1791.588455512333</v>
      </c>
      <c r="I44" s="4">
        <v>12.66006469884228</v>
      </c>
      <c r="J44" s="4">
        <v>51.5262797888238</v>
      </c>
      <c r="K44" s="9">
        <f t="shared" si="2"/>
        <v>1893.7707999999989</v>
      </c>
      <c r="M44" s="4">
        <v>6964.5873877283102</v>
      </c>
      <c r="N44" s="3"/>
      <c r="O44" s="7">
        <f t="shared" si="5"/>
        <v>8696.4985918261955</v>
      </c>
      <c r="P44" s="8">
        <v>4.5921600395497704</v>
      </c>
      <c r="Q44" s="13" t="str">
        <f t="shared" si="3"/>
        <v/>
      </c>
    </row>
    <row r="45" spans="1:17" x14ac:dyDescent="0.25">
      <c r="A45" t="s">
        <v>7</v>
      </c>
      <c r="B45">
        <v>1721</v>
      </c>
      <c r="C45" t="s">
        <v>4</v>
      </c>
      <c r="D45" t="s">
        <v>5</v>
      </c>
      <c r="E45" s="3">
        <f t="shared" si="4"/>
        <v>6.8662491348744679</v>
      </c>
      <c r="G45" s="4">
        <v>78.651999999999987</v>
      </c>
      <c r="H45" s="4">
        <v>1237.0772264131349</v>
      </c>
      <c r="I45" s="4">
        <v>7.1493388504864601</v>
      </c>
      <c r="J45" s="4">
        <v>187.39503473637689</v>
      </c>
      <c r="K45" s="9">
        <f t="shared" si="2"/>
        <v>1510.2735999999982</v>
      </c>
      <c r="M45" s="4">
        <v>8621.8215773291704</v>
      </c>
      <c r="N45" s="3"/>
      <c r="O45" s="7">
        <f t="shared" si="5"/>
        <v>6334.5172246747052</v>
      </c>
      <c r="P45" s="8">
        <v>4.1942845486239797</v>
      </c>
      <c r="Q45" s="13" t="str">
        <f t="shared" si="3"/>
        <v/>
      </c>
    </row>
    <row r="46" spans="1:17" x14ac:dyDescent="0.25">
      <c r="A46" t="s">
        <v>7</v>
      </c>
      <c r="B46">
        <v>1722</v>
      </c>
      <c r="C46" t="s">
        <v>4</v>
      </c>
      <c r="D46" t="s">
        <v>5</v>
      </c>
      <c r="E46" s="3">
        <f t="shared" si="4"/>
        <v>4.4654731610222465</v>
      </c>
      <c r="G46" s="4">
        <v>41.529999999999994</v>
      </c>
      <c r="H46" s="4">
        <v>1022.086716875404</v>
      </c>
      <c r="I46" s="4">
        <v>27.703547590842401</v>
      </c>
      <c r="J46" s="4">
        <v>110.14647553375249</v>
      </c>
      <c r="K46" s="9">
        <f t="shared" si="2"/>
        <v>1201.4667399999989</v>
      </c>
      <c r="M46" s="4">
        <v>4729.3402506764696</v>
      </c>
      <c r="N46" s="3"/>
      <c r="O46" s="7">
        <f t="shared" si="5"/>
        <v>4652.9711915928947</v>
      </c>
      <c r="P46" s="8">
        <v>3.8727424044987702</v>
      </c>
      <c r="Q46" s="13" t="str">
        <f t="shared" si="3"/>
        <v/>
      </c>
    </row>
    <row r="47" spans="1:17" x14ac:dyDescent="0.25">
      <c r="A47" t="s">
        <v>7</v>
      </c>
      <c r="B47">
        <v>1723</v>
      </c>
      <c r="C47" t="s">
        <v>4</v>
      </c>
      <c r="D47" t="s">
        <v>5</v>
      </c>
      <c r="E47" s="3">
        <f t="shared" si="4"/>
        <v>3.188355790063317</v>
      </c>
      <c r="G47" s="4">
        <v>33.67999999999995</v>
      </c>
      <c r="H47" s="4">
        <v>1152.2907383597649</v>
      </c>
      <c r="I47" s="4">
        <v>1.0829687144672899</v>
      </c>
      <c r="J47" s="4">
        <v>77.477452925767096</v>
      </c>
      <c r="K47" s="9">
        <f t="shared" si="2"/>
        <v>1264.5311599999991</v>
      </c>
      <c r="M47" s="4">
        <v>3711.0457370569202</v>
      </c>
      <c r="N47" s="3"/>
      <c r="O47" s="7">
        <f t="shared" si="5"/>
        <v>9086.2385421369727</v>
      </c>
      <c r="P47" s="8">
        <v>7.1854603742125098</v>
      </c>
      <c r="Q47" s="13" t="str">
        <f t="shared" si="3"/>
        <v/>
      </c>
    </row>
    <row r="48" spans="1:17" x14ac:dyDescent="0.25">
      <c r="A48" t="s">
        <v>7</v>
      </c>
      <c r="B48">
        <v>1724</v>
      </c>
      <c r="C48" t="s">
        <v>4</v>
      </c>
      <c r="D48" t="s">
        <v>5</v>
      </c>
      <c r="E48" s="3">
        <f t="shared" si="4"/>
        <v>3.214621095612292</v>
      </c>
      <c r="G48" s="4">
        <v>46.261999999999951</v>
      </c>
      <c r="H48" s="4">
        <v>3590.7081193640142</v>
      </c>
      <c r="I48" s="4">
        <v>0</v>
      </c>
      <c r="J48" s="4">
        <v>236.73454063597558</v>
      </c>
      <c r="K48" s="9">
        <f t="shared" si="2"/>
        <v>3873.7046599999899</v>
      </c>
      <c r="M48" s="4">
        <v>11589.0280686939</v>
      </c>
      <c r="N48" s="3"/>
      <c r="O48" s="7">
        <f t="shared" si="5"/>
        <v>38673.826169126369</v>
      </c>
      <c r="P48" s="8">
        <v>9.9836795944909404</v>
      </c>
      <c r="Q48" s="13" t="str">
        <f t="shared" si="3"/>
        <v/>
      </c>
    </row>
    <row r="49" spans="1:17" x14ac:dyDescent="0.25">
      <c r="A49" t="s">
        <v>7</v>
      </c>
      <c r="B49">
        <v>1811</v>
      </c>
      <c r="C49" t="s">
        <v>4</v>
      </c>
      <c r="D49" t="s">
        <v>5</v>
      </c>
      <c r="E49" s="3">
        <f t="shared" si="4"/>
        <v>3.390695784449246</v>
      </c>
      <c r="G49" s="4">
        <v>37.11799999999991</v>
      </c>
      <c r="H49" s="4">
        <v>3100.8270239189901</v>
      </c>
      <c r="I49" s="4">
        <v>18.647062288352011</v>
      </c>
      <c r="J49" s="4">
        <v>81.6304337926491</v>
      </c>
      <c r="K49" s="9">
        <f t="shared" si="2"/>
        <v>3238.2225199999912</v>
      </c>
      <c r="M49" s="4">
        <v>10614.3056338019</v>
      </c>
      <c r="N49" s="3"/>
      <c r="O49" s="7">
        <f t="shared" si="5"/>
        <v>19179.130937744747</v>
      </c>
      <c r="P49" s="8">
        <v>5.9227340985031498</v>
      </c>
      <c r="Q49" s="13" t="str">
        <f t="shared" si="3"/>
        <v/>
      </c>
    </row>
    <row r="50" spans="1:17" x14ac:dyDescent="0.25">
      <c r="A50" t="s">
        <v>7</v>
      </c>
      <c r="B50">
        <v>1812</v>
      </c>
      <c r="C50" t="s">
        <v>4</v>
      </c>
      <c r="D50" t="s">
        <v>5</v>
      </c>
      <c r="E50" s="3">
        <f t="shared" si="4"/>
        <v>2.5337629665594612</v>
      </c>
      <c r="G50" s="4">
        <v>42.055999999999941</v>
      </c>
      <c r="H50" s="4">
        <v>3377.67595198047</v>
      </c>
      <c r="I50" s="4">
        <v>3.2702786026118904</v>
      </c>
      <c r="J50" s="4">
        <v>119.89698941690699</v>
      </c>
      <c r="K50" s="9">
        <f t="shared" si="2"/>
        <v>3542.8992199999893</v>
      </c>
      <c r="M50" s="4">
        <v>8608.5723509802192</v>
      </c>
      <c r="N50" s="3"/>
      <c r="O50" s="7">
        <f t="shared" si="5"/>
        <v>15078.756817815367</v>
      </c>
      <c r="P50" s="8">
        <v>4.2560501672456299</v>
      </c>
      <c r="Q50" s="13" t="str">
        <f t="shared" si="3"/>
        <v/>
      </c>
    </row>
    <row r="51" spans="1:17" x14ac:dyDescent="0.25">
      <c r="A51" t="s">
        <v>7</v>
      </c>
      <c r="B51">
        <v>1813</v>
      </c>
      <c r="C51" t="s">
        <v>4</v>
      </c>
      <c r="D51" t="s">
        <v>5</v>
      </c>
      <c r="E51" s="3">
        <f t="shared" si="4"/>
        <v>3.6666658515332329</v>
      </c>
      <c r="G51" s="4">
        <v>48.63999999999993</v>
      </c>
      <c r="H51" s="4">
        <v>1493.182564023231</v>
      </c>
      <c r="I51" s="4">
        <v>7.3047296016335403</v>
      </c>
      <c r="J51" s="4">
        <v>91.248326375134894</v>
      </c>
      <c r="K51" s="9">
        <f t="shared" si="2"/>
        <v>1640.3756199999993</v>
      </c>
      <c r="M51" s="4">
        <v>5550.4255201938104</v>
      </c>
      <c r="N51" s="3"/>
      <c r="O51" s="7">
        <f t="shared" si="5"/>
        <v>9453.6554264530514</v>
      </c>
      <c r="P51" s="8">
        <v>5.7631040788408301</v>
      </c>
      <c r="Q51" s="13" t="str">
        <f t="shared" si="3"/>
        <v/>
      </c>
    </row>
    <row r="52" spans="1:17" x14ac:dyDescent="0.25">
      <c r="A52" t="s">
        <v>7</v>
      </c>
      <c r="B52">
        <v>1821</v>
      </c>
      <c r="C52" t="s">
        <v>4</v>
      </c>
      <c r="D52" t="s">
        <v>5</v>
      </c>
      <c r="E52" s="3">
        <f t="shared" si="4"/>
        <v>3.1188723280568578</v>
      </c>
      <c r="G52" s="4">
        <v>69.127999999999901</v>
      </c>
      <c r="H52" s="4">
        <v>1899.4489327476531</v>
      </c>
      <c r="I52" s="4">
        <v>3.1606022136581098</v>
      </c>
      <c r="J52" s="4">
        <v>56.261405038681701</v>
      </c>
      <c r="K52" s="9">
        <f t="shared" si="2"/>
        <v>2027.9989399999929</v>
      </c>
      <c r="M52" s="4">
        <v>6003.12422968796</v>
      </c>
      <c r="N52" s="3"/>
      <c r="O52" s="7">
        <f t="shared" si="5"/>
        <v>8560.4108138521387</v>
      </c>
      <c r="P52" s="8">
        <v>4.2211120750645801</v>
      </c>
      <c r="Q52" s="13" t="str">
        <f t="shared" si="3"/>
        <v/>
      </c>
    </row>
    <row r="53" spans="1:17" x14ac:dyDescent="0.25">
      <c r="A53" t="s">
        <v>7</v>
      </c>
      <c r="B53">
        <v>1911</v>
      </c>
      <c r="C53" t="s">
        <v>4</v>
      </c>
      <c r="D53" t="s">
        <v>5</v>
      </c>
      <c r="E53" s="3">
        <f t="shared" si="4"/>
        <v>1.6279383507968257</v>
      </c>
      <c r="G53" s="4">
        <v>8.9159999999999897</v>
      </c>
      <c r="H53" s="4">
        <v>4196.0026799432599</v>
      </c>
      <c r="I53" s="4">
        <v>69.178578011768593</v>
      </c>
      <c r="J53" s="4">
        <v>55.808742044960695</v>
      </c>
      <c r="K53" s="9">
        <f t="shared" si="2"/>
        <v>4329.9059999999899</v>
      </c>
      <c r="M53" s="4">
        <v>6952.36814292484</v>
      </c>
      <c r="N53" s="3"/>
      <c r="O53" s="7">
        <f t="shared" si="5"/>
        <v>13765.40769808501</v>
      </c>
      <c r="P53" s="8">
        <v>3.1791470064442602</v>
      </c>
      <c r="Q53" s="13" t="str">
        <f t="shared" si="3"/>
        <v/>
      </c>
    </row>
    <row r="54" spans="1:17" x14ac:dyDescent="0.25">
      <c r="A54" t="s">
        <v>7</v>
      </c>
      <c r="B54">
        <v>1912</v>
      </c>
      <c r="C54" t="s">
        <v>4</v>
      </c>
      <c r="D54" t="s">
        <v>5</v>
      </c>
      <c r="E54" s="3">
        <f t="shared" si="4"/>
        <v>3.1602542727926419</v>
      </c>
      <c r="G54" s="4">
        <v>510.85799999999904</v>
      </c>
      <c r="H54" s="4">
        <v>2043.9416115649888</v>
      </c>
      <c r="I54" s="4">
        <v>15.870238470645749</v>
      </c>
      <c r="J54" s="4">
        <v>14.324849964363491</v>
      </c>
      <c r="K54" s="9">
        <f t="shared" si="2"/>
        <v>2584.994699999997</v>
      </c>
      <c r="M54" s="4">
        <v>7020.3872002240296</v>
      </c>
      <c r="N54" s="3"/>
      <c r="O54" s="7">
        <f t="shared" si="5"/>
        <v>9002.077939893883</v>
      </c>
      <c r="P54" s="8">
        <v>3.4824357434442299</v>
      </c>
      <c r="Q54" s="13" t="str">
        <f t="shared" si="3"/>
        <v/>
      </c>
    </row>
    <row r="55" spans="1:17" x14ac:dyDescent="0.25">
      <c r="A55" t="s">
        <v>7</v>
      </c>
      <c r="B55">
        <v>1921</v>
      </c>
      <c r="C55" t="s">
        <v>4</v>
      </c>
      <c r="D55" t="s">
        <v>5</v>
      </c>
      <c r="E55" s="3">
        <f t="shared" si="4"/>
        <v>2.714984393888785</v>
      </c>
      <c r="G55" s="4">
        <v>16.15199999999999</v>
      </c>
      <c r="H55" s="4">
        <v>1608.1251903613841</v>
      </c>
      <c r="I55" s="4">
        <v>22.40622080405322</v>
      </c>
      <c r="J55" s="4">
        <v>8.5739688345548188</v>
      </c>
      <c r="K55" s="9">
        <f t="shared" si="2"/>
        <v>1655.2573799999921</v>
      </c>
      <c r="M55" s="4">
        <v>4443.0193350596201</v>
      </c>
      <c r="N55" s="3"/>
      <c r="O55" s="7">
        <f t="shared" si="5"/>
        <v>6537.1733236134332</v>
      </c>
      <c r="P55" s="8">
        <v>3.9493394819441701</v>
      </c>
      <c r="Q55" s="13" t="str">
        <f t="shared" si="3"/>
        <v/>
      </c>
    </row>
    <row r="56" spans="1:17" x14ac:dyDescent="0.25">
      <c r="A56" t="s">
        <v>7</v>
      </c>
      <c r="B56">
        <v>1922</v>
      </c>
      <c r="C56" t="s">
        <v>4</v>
      </c>
      <c r="D56" t="s">
        <v>5</v>
      </c>
      <c r="E56" s="3">
        <f t="shared" si="4"/>
        <v>3.7020657662062169</v>
      </c>
      <c r="G56" s="4">
        <v>135.33199999999979</v>
      </c>
      <c r="H56" s="4">
        <v>1540.3836755653092</v>
      </c>
      <c r="I56" s="4">
        <v>0.62221209377279707</v>
      </c>
      <c r="J56" s="4">
        <v>44.579732340911001</v>
      </c>
      <c r="K56" s="9">
        <f t="shared" si="2"/>
        <v>1720.9176199999929</v>
      </c>
      <c r="M56" s="4">
        <v>5840.2371422249098</v>
      </c>
      <c r="N56" s="3"/>
      <c r="O56" s="7">
        <f t="shared" si="5"/>
        <v>7128.4019944896936</v>
      </c>
      <c r="P56" s="8">
        <v>4.1422098952590902</v>
      </c>
      <c r="Q56" s="13" t="str">
        <f t="shared" si="3"/>
        <v/>
      </c>
    </row>
    <row r="57" spans="1:17" x14ac:dyDescent="0.25">
      <c r="A57" t="s">
        <v>7</v>
      </c>
      <c r="B57">
        <v>2011</v>
      </c>
      <c r="C57" t="s">
        <v>4</v>
      </c>
      <c r="D57" t="s">
        <v>5</v>
      </c>
      <c r="E57" s="3">
        <f t="shared" si="4"/>
        <v>3.0031839174852508</v>
      </c>
      <c r="G57" s="4">
        <v>71.155999999999906</v>
      </c>
      <c r="H57" s="4">
        <v>2504.2985783424947</v>
      </c>
      <c r="I57" s="4">
        <v>27.834598739110611</v>
      </c>
      <c r="J57" s="4">
        <v>97.151722918385815</v>
      </c>
      <c r="K57" s="9">
        <f t="shared" si="2"/>
        <v>2700.4408999999914</v>
      </c>
      <c r="M57" s="4">
        <v>7675.6176343423103</v>
      </c>
      <c r="N57" s="3"/>
      <c r="O57" s="7">
        <f t="shared" si="5"/>
        <v>12682.939875604288</v>
      </c>
      <c r="P57" s="8">
        <v>4.6966181987557398</v>
      </c>
      <c r="Q57" s="13" t="str">
        <f t="shared" si="3"/>
        <v/>
      </c>
    </row>
    <row r="58" spans="1:17" x14ac:dyDescent="0.25">
      <c r="A58" t="s">
        <v>7</v>
      </c>
      <c r="B58">
        <v>2012</v>
      </c>
      <c r="C58" t="s">
        <v>4</v>
      </c>
      <c r="D58" t="s">
        <v>5</v>
      </c>
      <c r="E58" s="3">
        <f t="shared" si="4"/>
        <v>3.6923674754625848</v>
      </c>
      <c r="G58" s="4">
        <v>81.149999999999991</v>
      </c>
      <c r="H58" s="4">
        <v>4820.5301896431902</v>
      </c>
      <c r="I58" s="4">
        <v>3.0536338805730301</v>
      </c>
      <c r="J58" s="4">
        <v>1152.4277564762251</v>
      </c>
      <c r="K58" s="9">
        <f t="shared" si="2"/>
        <v>6057.1615799999881</v>
      </c>
      <c r="M58" s="4">
        <v>17891.594025146602</v>
      </c>
      <c r="N58" s="3"/>
      <c r="O58" s="7">
        <f t="shared" si="5"/>
        <v>49467.687798538856</v>
      </c>
      <c r="P58" s="8">
        <v>8.1668100058408797</v>
      </c>
      <c r="Q58" s="13" t="str">
        <f t="shared" si="3"/>
        <v/>
      </c>
    </row>
    <row r="59" spans="1:17" x14ac:dyDescent="0.25">
      <c r="A59" t="s">
        <v>7</v>
      </c>
      <c r="B59">
        <v>2019</v>
      </c>
      <c r="C59" t="s">
        <v>4</v>
      </c>
      <c r="D59" t="s">
        <v>5</v>
      </c>
      <c r="E59" s="3">
        <f t="shared" si="4"/>
        <v>9.5025108251135268</v>
      </c>
      <c r="G59" s="4">
        <v>1.1759999999999988</v>
      </c>
      <c r="H59" s="4">
        <v>562.94393999999897</v>
      </c>
      <c r="I59" s="4">
        <v>0</v>
      </c>
      <c r="J59" s="4">
        <v>0</v>
      </c>
      <c r="K59" s="9">
        <f t="shared" si="2"/>
        <v>564.11993999999902</v>
      </c>
      <c r="M59" s="4">
        <v>5350.5568837820501</v>
      </c>
      <c r="N59" s="3"/>
      <c r="O59" s="7">
        <f t="shared" si="5"/>
        <v>5641.1993999999904</v>
      </c>
      <c r="P59" s="8">
        <v>92.153466486788801</v>
      </c>
      <c r="Q59" s="13" t="str">
        <f t="shared" si="3"/>
        <v>cut-off</v>
      </c>
    </row>
    <row r="60" spans="1:17" x14ac:dyDescent="0.25">
      <c r="A60" t="s">
        <v>7</v>
      </c>
      <c r="B60">
        <v>2111</v>
      </c>
      <c r="C60" t="s">
        <v>4</v>
      </c>
      <c r="D60" t="s">
        <v>5</v>
      </c>
      <c r="E60" s="3">
        <f t="shared" si="4"/>
        <v>2.8049039951335626</v>
      </c>
      <c r="G60" s="4">
        <v>24.027999999999931</v>
      </c>
      <c r="H60" s="4">
        <v>3186.70237450484</v>
      </c>
      <c r="I60" s="4">
        <v>18.72912055501946</v>
      </c>
      <c r="J60" s="4">
        <v>315.23560494013202</v>
      </c>
      <c r="K60" s="9">
        <f t="shared" si="2"/>
        <v>3544.6950999999913</v>
      </c>
      <c r="M60" s="4">
        <v>9014.9556066203495</v>
      </c>
      <c r="N60" s="3"/>
      <c r="O60" s="7">
        <f t="shared" si="5"/>
        <v>26271.080935999638</v>
      </c>
      <c r="P60" s="8">
        <v>7.41137959538458</v>
      </c>
      <c r="Q60" s="13" t="str">
        <f t="shared" si="3"/>
        <v/>
      </c>
    </row>
    <row r="61" spans="1:17" x14ac:dyDescent="0.25">
      <c r="A61" t="s">
        <v>7</v>
      </c>
      <c r="B61">
        <v>2121</v>
      </c>
      <c r="C61" t="s">
        <v>4</v>
      </c>
      <c r="D61" t="s">
        <v>5</v>
      </c>
      <c r="E61" s="3">
        <f t="shared" si="4"/>
        <v>5.4617046495477162</v>
      </c>
      <c r="G61" s="4">
        <v>191.06199999999981</v>
      </c>
      <c r="H61" s="4">
        <v>2604.09110954483</v>
      </c>
      <c r="I61" s="4">
        <v>0.88553578667621002</v>
      </c>
      <c r="J61" s="4">
        <v>115.7090946684847</v>
      </c>
      <c r="K61" s="9">
        <f t="shared" si="2"/>
        <v>2911.7477399999912</v>
      </c>
      <c r="M61" s="4">
        <v>14418.6750557703</v>
      </c>
      <c r="N61" s="3"/>
      <c r="O61" s="7">
        <f t="shared" si="5"/>
        <v>21038.580010445243</v>
      </c>
      <c r="P61" s="8">
        <v>7.2254130127513401</v>
      </c>
      <c r="Q61" s="13" t="str">
        <f t="shared" si="3"/>
        <v/>
      </c>
    </row>
    <row r="62" spans="1:17" x14ac:dyDescent="0.25">
      <c r="A62" t="s">
        <v>7</v>
      </c>
      <c r="B62">
        <v>2122</v>
      </c>
      <c r="C62" t="s">
        <v>4</v>
      </c>
      <c r="D62" t="s">
        <v>5</v>
      </c>
      <c r="E62" s="3">
        <f t="shared" si="4"/>
        <v>4.9247319532526115</v>
      </c>
      <c r="G62" s="4">
        <v>11.259999999999989</v>
      </c>
      <c r="H62" s="4">
        <v>716.58889464089407</v>
      </c>
      <c r="I62" s="4">
        <v>0</v>
      </c>
      <c r="J62" s="4">
        <v>67.790905359104599</v>
      </c>
      <c r="K62" s="9">
        <f t="shared" si="2"/>
        <v>795.63979999999867</v>
      </c>
      <c r="M62" s="4">
        <v>3540.26822678398</v>
      </c>
      <c r="N62" s="3"/>
      <c r="O62" s="7">
        <f t="shared" si="5"/>
        <v>6379.8083713531632</v>
      </c>
      <c r="P62" s="8">
        <v>8.01846309266225</v>
      </c>
      <c r="Q62" s="13" t="str">
        <f t="shared" si="3"/>
        <v/>
      </c>
    </row>
    <row r="63" spans="1:17" x14ac:dyDescent="0.25">
      <c r="A63" t="s">
        <v>7</v>
      </c>
      <c r="B63">
        <v>2211</v>
      </c>
      <c r="C63" t="s">
        <v>4</v>
      </c>
      <c r="D63" t="s">
        <v>5</v>
      </c>
      <c r="E63" s="3">
        <f t="shared" si="4"/>
        <v>8.1119603622375447</v>
      </c>
      <c r="G63" s="4">
        <v>21.723999999999968</v>
      </c>
      <c r="H63" s="4">
        <v>1055.0958921392</v>
      </c>
      <c r="I63" s="4">
        <v>0</v>
      </c>
      <c r="J63" s="4">
        <v>41.068507860799102</v>
      </c>
      <c r="K63" s="9">
        <f t="shared" si="2"/>
        <v>1117.8883999999991</v>
      </c>
      <c r="M63" s="4">
        <v>8580.6200553928502</v>
      </c>
      <c r="N63" s="3"/>
      <c r="O63" s="7">
        <f t="shared" si="5"/>
        <v>9447.2989627797979</v>
      </c>
      <c r="P63" s="8">
        <v>8.4510215534751101</v>
      </c>
      <c r="Q63" s="13" t="str">
        <f t="shared" si="3"/>
        <v/>
      </c>
    </row>
    <row r="64" spans="1:17" x14ac:dyDescent="0.25">
      <c r="A64" t="s">
        <v>7</v>
      </c>
      <c r="B64">
        <v>2212</v>
      </c>
      <c r="C64" t="s">
        <v>4</v>
      </c>
      <c r="D64" t="s">
        <v>5</v>
      </c>
      <c r="E64" s="3">
        <f t="shared" si="4"/>
        <v>16.931455197143919</v>
      </c>
      <c r="G64" s="4">
        <v>19.153999999999961</v>
      </c>
      <c r="H64" s="4">
        <v>705.15442119018098</v>
      </c>
      <c r="I64" s="4">
        <v>0</v>
      </c>
      <c r="J64" s="4">
        <v>23.786958809818021</v>
      </c>
      <c r="K64" s="9">
        <f t="shared" si="2"/>
        <v>748.09537999999895</v>
      </c>
      <c r="M64" s="4">
        <v>11958.444489449501</v>
      </c>
      <c r="N64" s="3"/>
      <c r="O64" s="7">
        <f t="shared" si="5"/>
        <v>5800.0947733307048</v>
      </c>
      <c r="P64" s="8">
        <v>7.7531487673813899</v>
      </c>
      <c r="Q64" s="13" t="str">
        <f t="shared" si="3"/>
        <v/>
      </c>
    </row>
    <row r="65" spans="1:17" x14ac:dyDescent="0.25">
      <c r="A65" t="s">
        <v>7</v>
      </c>
      <c r="B65">
        <v>2221</v>
      </c>
      <c r="C65" t="s">
        <v>4</v>
      </c>
      <c r="D65" t="s">
        <v>5</v>
      </c>
      <c r="E65" s="3">
        <f t="shared" si="4"/>
        <v>14.95785183835709</v>
      </c>
      <c r="G65" s="4">
        <v>24.505999999999943</v>
      </c>
      <c r="H65" s="4">
        <v>583.80720308946002</v>
      </c>
      <c r="I65" s="4">
        <v>0</v>
      </c>
      <c r="J65" s="4">
        <v>189.59889691053809</v>
      </c>
      <c r="K65" s="9">
        <f t="shared" si="2"/>
        <v>797.91209999999808</v>
      </c>
      <c r="M65" s="4">
        <v>8757.0076459777902</v>
      </c>
      <c r="N65" s="3"/>
      <c r="O65" s="7">
        <f t="shared" si="5"/>
        <v>7979.120999999981</v>
      </c>
      <c r="P65" s="8">
        <v>10.464010444625499</v>
      </c>
      <c r="Q65" s="13" t="str">
        <f t="shared" si="3"/>
        <v>cut-off</v>
      </c>
    </row>
    <row r="66" spans="1:17" x14ac:dyDescent="0.25">
      <c r="A66" t="s">
        <v>7</v>
      </c>
      <c r="B66">
        <v>2311</v>
      </c>
      <c r="C66" t="s">
        <v>4</v>
      </c>
      <c r="D66" t="s">
        <v>5</v>
      </c>
      <c r="E66" s="3">
        <f t="shared" si="4"/>
        <v>2.3116685168996089</v>
      </c>
      <c r="G66" s="4">
        <v>14.499999999999979</v>
      </c>
      <c r="H66" s="4">
        <v>4878.8860039514902</v>
      </c>
      <c r="I66" s="4">
        <v>0</v>
      </c>
      <c r="J66" s="4">
        <v>181.05829604850521</v>
      </c>
      <c r="K66" s="9">
        <f t="shared" si="2"/>
        <v>5074.4442999999956</v>
      </c>
      <c r="M66" s="4">
        <v>11292.8671728768</v>
      </c>
      <c r="N66" s="3"/>
      <c r="O66" s="7">
        <f t="shared" si="5"/>
        <v>50744.442999999956</v>
      </c>
      <c r="P66" s="8">
        <v>14.0933887411716</v>
      </c>
      <c r="Q66" s="13" t="str">
        <f t="shared" si="3"/>
        <v>cut-off</v>
      </c>
    </row>
    <row r="67" spans="1:17" x14ac:dyDescent="0.25">
      <c r="A67" t="s">
        <v>7</v>
      </c>
      <c r="B67">
        <v>2312</v>
      </c>
      <c r="C67" t="s">
        <v>4</v>
      </c>
      <c r="D67" t="s">
        <v>5</v>
      </c>
      <c r="E67" s="3">
        <f t="shared" ref="E67:E98" si="6">(M67-G67)/SUM(H67:I67)</f>
        <v>2.7234336896606193</v>
      </c>
      <c r="G67" s="4">
        <v>31.363999999999947</v>
      </c>
      <c r="H67" s="4">
        <v>3554.8350383888301</v>
      </c>
      <c r="I67" s="4">
        <v>0</v>
      </c>
      <c r="J67" s="4">
        <v>80.827121611166902</v>
      </c>
      <c r="K67" s="9">
        <f t="shared" si="2"/>
        <v>3667.0261599999972</v>
      </c>
      <c r="M67" s="4">
        <v>9712.7215047341397</v>
      </c>
      <c r="N67" s="3"/>
      <c r="O67" s="7">
        <f t="shared" ref="O67:O98" si="7">SUM(G67:J67)*MIN(P67,$S$3)</f>
        <v>19815.923832645989</v>
      </c>
      <c r="P67" s="8">
        <v>5.4038130539668696</v>
      </c>
      <c r="Q67" s="13" t="str">
        <f t="shared" si="3"/>
        <v/>
      </c>
    </row>
    <row r="68" spans="1:17" x14ac:dyDescent="0.25">
      <c r="A68" t="s">
        <v>7</v>
      </c>
      <c r="B68">
        <v>2319</v>
      </c>
      <c r="C68" t="s">
        <v>4</v>
      </c>
      <c r="D68" t="s">
        <v>5</v>
      </c>
      <c r="E68" s="3">
        <f t="shared" si="6"/>
        <v>1.7594623409880388</v>
      </c>
      <c r="G68" s="4">
        <v>38.157999999999909</v>
      </c>
      <c r="H68" s="4">
        <v>5107.11004597393</v>
      </c>
      <c r="I68" s="4">
        <v>0</v>
      </c>
      <c r="J68" s="4">
        <v>145.8206740260554</v>
      </c>
      <c r="K68" s="9">
        <f t="shared" ref="K68:K108" si="8">SUM(G68:J68)</f>
        <v>5291.0887199999861</v>
      </c>
      <c r="M68" s="4">
        <v>9023.9257971728202</v>
      </c>
      <c r="N68" s="3"/>
      <c r="O68" s="7">
        <f t="shared" si="7"/>
        <v>52910.887199999859</v>
      </c>
      <c r="P68" s="8">
        <v>138.40841119145901</v>
      </c>
      <c r="Q68" s="13" t="str">
        <f t="shared" ref="Q68:Q108" si="9">IF(P68&gt;10,"cut-off","")</f>
        <v>cut-off</v>
      </c>
    </row>
    <row r="69" spans="1:17" x14ac:dyDescent="0.25">
      <c r="A69" t="s">
        <v>7</v>
      </c>
      <c r="B69">
        <v>2331</v>
      </c>
      <c r="C69" t="s">
        <v>4</v>
      </c>
      <c r="D69" t="s">
        <v>5</v>
      </c>
      <c r="E69" s="3">
        <f t="shared" si="6"/>
        <v>2.4430597977540303</v>
      </c>
      <c r="G69" s="4">
        <v>25.67799999999993</v>
      </c>
      <c r="H69" s="4">
        <v>3814.6479055974</v>
      </c>
      <c r="I69" s="4">
        <v>0</v>
      </c>
      <c r="J69" s="4">
        <v>737.76071440258795</v>
      </c>
      <c r="K69" s="9">
        <f t="shared" si="8"/>
        <v>4578.0866199999882</v>
      </c>
      <c r="M69" s="4">
        <v>9345.0909407516192</v>
      </c>
      <c r="N69" s="3"/>
      <c r="O69" s="7">
        <f t="shared" si="7"/>
        <v>45780.86619999988</v>
      </c>
      <c r="P69" s="8">
        <v>13.890497774035399</v>
      </c>
      <c r="Q69" s="13" t="str">
        <f t="shared" si="9"/>
        <v>cut-off</v>
      </c>
    </row>
    <row r="70" spans="1:17" x14ac:dyDescent="0.25">
      <c r="A70" t="s">
        <v>7</v>
      </c>
      <c r="B70">
        <v>2411</v>
      </c>
      <c r="C70" t="s">
        <v>4</v>
      </c>
      <c r="D70" t="s">
        <v>5</v>
      </c>
      <c r="E70" s="3">
        <f t="shared" si="6"/>
        <v>12.846322742585606</v>
      </c>
      <c r="G70" s="4">
        <v>17.987999999999957</v>
      </c>
      <c r="H70" s="4">
        <v>725.77506974451603</v>
      </c>
      <c r="I70" s="4">
        <v>0</v>
      </c>
      <c r="J70" s="4">
        <v>38.23831025548273</v>
      </c>
      <c r="K70" s="9">
        <f t="shared" si="8"/>
        <v>782.00137999999868</v>
      </c>
      <c r="M70" s="4">
        <v>9341.52878446063</v>
      </c>
      <c r="N70" s="3"/>
      <c r="O70" s="7">
        <f t="shared" si="7"/>
        <v>6325.7497211117943</v>
      </c>
      <c r="P70" s="8">
        <v>8.0891797417439406</v>
      </c>
      <c r="Q70" s="13" t="str">
        <f t="shared" si="9"/>
        <v/>
      </c>
    </row>
    <row r="71" spans="1:17" x14ac:dyDescent="0.25">
      <c r="A71" t="s">
        <v>7</v>
      </c>
      <c r="B71">
        <v>2412</v>
      </c>
      <c r="C71" t="s">
        <v>4</v>
      </c>
      <c r="D71" t="s">
        <v>5</v>
      </c>
      <c r="E71" s="3">
        <f t="shared" si="6"/>
        <v>12.911501146653571</v>
      </c>
      <c r="G71" s="4">
        <v>0</v>
      </c>
      <c r="H71" s="4">
        <v>198.6167406151861</v>
      </c>
      <c r="I71" s="4">
        <v>0</v>
      </c>
      <c r="J71" s="4">
        <v>1.351199384813718</v>
      </c>
      <c r="K71" s="9">
        <f t="shared" si="8"/>
        <v>199.96793999999983</v>
      </c>
      <c r="M71" s="4">
        <v>2564.44027419757</v>
      </c>
      <c r="N71" s="3"/>
      <c r="O71" s="7">
        <f t="shared" si="7"/>
        <v>1999.6793999999982</v>
      </c>
      <c r="P71" s="8">
        <v>10.359222814792499</v>
      </c>
      <c r="Q71" s="13" t="str">
        <f t="shared" si="9"/>
        <v>cut-off</v>
      </c>
    </row>
    <row r="72" spans="1:17" x14ac:dyDescent="0.25">
      <c r="A72" t="s">
        <v>7</v>
      </c>
      <c r="B72">
        <v>2413</v>
      </c>
      <c r="C72" t="s">
        <v>4</v>
      </c>
      <c r="D72" t="s">
        <v>5</v>
      </c>
      <c r="E72" s="3">
        <f t="shared" si="6"/>
        <v>51.219700774315505</v>
      </c>
      <c r="G72" s="4">
        <v>1.7519999999999927</v>
      </c>
      <c r="H72" s="4">
        <v>188.40160803142331</v>
      </c>
      <c r="I72" s="4">
        <v>0</v>
      </c>
      <c r="J72" s="4">
        <v>11.14163196857622</v>
      </c>
      <c r="K72" s="9">
        <f t="shared" si="8"/>
        <v>201.29523999999952</v>
      </c>
      <c r="M72" s="4">
        <v>9651.6259887693795</v>
      </c>
      <c r="N72" s="3"/>
      <c r="O72" s="7">
        <f t="shared" si="7"/>
        <v>1491.80775806765</v>
      </c>
      <c r="P72" s="8">
        <v>7.41104339112864</v>
      </c>
      <c r="Q72" s="13" t="str">
        <f t="shared" si="9"/>
        <v/>
      </c>
    </row>
    <row r="73" spans="1:17" x14ac:dyDescent="0.25">
      <c r="A73" t="s">
        <v>7</v>
      </c>
      <c r="B73">
        <v>2414</v>
      </c>
      <c r="C73" t="s">
        <v>4</v>
      </c>
      <c r="D73" t="s">
        <v>5</v>
      </c>
      <c r="E73" s="3">
        <f t="shared" si="6"/>
        <v>21.106393721940481</v>
      </c>
      <c r="G73" s="4">
        <v>26.419999999999931</v>
      </c>
      <c r="H73" s="4">
        <v>551.92100963745816</v>
      </c>
      <c r="I73" s="4">
        <v>0</v>
      </c>
      <c r="J73" s="4">
        <v>56.339810362540916</v>
      </c>
      <c r="K73" s="9">
        <f t="shared" si="8"/>
        <v>634.68081999999902</v>
      </c>
      <c r="M73" s="4">
        <v>11675.482132819099</v>
      </c>
      <c r="N73" s="3"/>
      <c r="O73" s="7">
        <f t="shared" si="7"/>
        <v>6346.8081999999904</v>
      </c>
      <c r="P73" s="8">
        <v>13.3743050463611</v>
      </c>
      <c r="Q73" s="13" t="str">
        <f t="shared" si="9"/>
        <v>cut-off</v>
      </c>
    </row>
    <row r="74" spans="1:17" x14ac:dyDescent="0.25">
      <c r="A74" t="s">
        <v>7</v>
      </c>
      <c r="B74">
        <v>2415</v>
      </c>
      <c r="C74" t="s">
        <v>4</v>
      </c>
      <c r="D74" t="s">
        <v>5</v>
      </c>
      <c r="E74" s="3">
        <f t="shared" si="6"/>
        <v>25.704201990622888</v>
      </c>
      <c r="G74" s="4">
        <v>38.833999999999975</v>
      </c>
      <c r="H74" s="4">
        <v>330.52064314819881</v>
      </c>
      <c r="I74" s="4">
        <v>0</v>
      </c>
      <c r="J74" s="4">
        <v>31.29087685180091</v>
      </c>
      <c r="K74" s="9">
        <f t="shared" si="8"/>
        <v>400.64551999999969</v>
      </c>
      <c r="M74" s="4">
        <v>8534.6033735518904</v>
      </c>
      <c r="N74" s="3"/>
      <c r="O74" s="7">
        <f t="shared" si="7"/>
        <v>4006.4551999999967</v>
      </c>
      <c r="P74" s="8">
        <v>42.402515449830702</v>
      </c>
      <c r="Q74" s="13" t="str">
        <f t="shared" si="9"/>
        <v>cut-off</v>
      </c>
    </row>
    <row r="75" spans="1:17" x14ac:dyDescent="0.25">
      <c r="A75" t="s">
        <v>7</v>
      </c>
      <c r="B75">
        <v>2419</v>
      </c>
      <c r="C75" t="s">
        <v>4</v>
      </c>
      <c r="D75" t="s">
        <v>5</v>
      </c>
      <c r="E75" s="3">
        <f t="shared" si="6"/>
        <v>4.3360067441059114</v>
      </c>
      <c r="G75" s="4">
        <v>65.245999999999995</v>
      </c>
      <c r="H75" s="4">
        <v>306.42349703304939</v>
      </c>
      <c r="I75" s="4">
        <v>0</v>
      </c>
      <c r="J75" s="4">
        <v>52.51376296694972</v>
      </c>
      <c r="K75" s="9">
        <f t="shared" si="8"/>
        <v>424.18325999999911</v>
      </c>
      <c r="M75" s="4">
        <v>1393.9003496878199</v>
      </c>
      <c r="N75" s="3"/>
      <c r="O75" s="7">
        <f t="shared" si="7"/>
        <v>4241.8325999999906</v>
      </c>
      <c r="P75" s="8">
        <v>477.35895650425999</v>
      </c>
      <c r="Q75" s="13" t="str">
        <f t="shared" si="9"/>
        <v>cut-off</v>
      </c>
    </row>
    <row r="76" spans="1:17" x14ac:dyDescent="0.25">
      <c r="A76" t="s">
        <v>7</v>
      </c>
      <c r="B76">
        <v>2511</v>
      </c>
      <c r="C76" t="s">
        <v>4</v>
      </c>
      <c r="D76" t="s">
        <v>5</v>
      </c>
      <c r="E76" s="3">
        <f t="shared" si="6"/>
        <v>40.455229647174839</v>
      </c>
      <c r="G76" s="4">
        <v>52.763999999999918</v>
      </c>
      <c r="H76" s="4">
        <v>471.30805367932999</v>
      </c>
      <c r="I76" s="4">
        <v>0</v>
      </c>
      <c r="J76" s="4">
        <v>120.5785263206684</v>
      </c>
      <c r="K76" s="9">
        <f t="shared" si="8"/>
        <v>644.65057999999829</v>
      </c>
      <c r="M76" s="4">
        <v>19119.639546160299</v>
      </c>
      <c r="N76" s="3"/>
      <c r="O76" s="7">
        <f t="shared" si="7"/>
        <v>6446.5057999999826</v>
      </c>
      <c r="P76" s="8">
        <v>12.9345392348788</v>
      </c>
      <c r="Q76" s="13" t="str">
        <f t="shared" si="9"/>
        <v>cut-off</v>
      </c>
    </row>
    <row r="77" spans="1:17" x14ac:dyDescent="0.25">
      <c r="A77" t="s">
        <v>7</v>
      </c>
      <c r="B77">
        <v>2512</v>
      </c>
      <c r="C77" t="s">
        <v>4</v>
      </c>
      <c r="D77" t="s">
        <v>5</v>
      </c>
      <c r="E77" s="3">
        <f t="shared" si="6"/>
        <v>41.789824389228059</v>
      </c>
      <c r="G77" s="4">
        <v>922.43399999999986</v>
      </c>
      <c r="H77" s="4">
        <v>439.37667535657403</v>
      </c>
      <c r="I77" s="4">
        <v>0</v>
      </c>
      <c r="J77" s="4">
        <v>10.62722464342475</v>
      </c>
      <c r="K77" s="9">
        <f t="shared" si="8"/>
        <v>1372.4378999999988</v>
      </c>
      <c r="M77" s="4">
        <v>19283.908103874099</v>
      </c>
      <c r="N77" s="3"/>
      <c r="O77" s="7">
        <f t="shared" si="7"/>
        <v>13724.378999999988</v>
      </c>
      <c r="P77" s="8">
        <v>13.0082656421514</v>
      </c>
      <c r="Q77" s="13" t="str">
        <f t="shared" si="9"/>
        <v>cut-off</v>
      </c>
    </row>
    <row r="78" spans="1:17" x14ac:dyDescent="0.25">
      <c r="A78" t="s">
        <v>7</v>
      </c>
      <c r="B78">
        <v>2519</v>
      </c>
      <c r="C78" t="s">
        <v>4</v>
      </c>
      <c r="D78" t="s">
        <v>5</v>
      </c>
      <c r="E78" s="3">
        <f t="shared" si="6"/>
        <v>878.96621421746488</v>
      </c>
      <c r="G78" s="4">
        <v>1329.3319999999969</v>
      </c>
      <c r="H78" s="4">
        <v>51.862719999999896</v>
      </c>
      <c r="I78" s="4">
        <v>0</v>
      </c>
      <c r="J78" s="4">
        <v>0</v>
      </c>
      <c r="K78" s="9">
        <f t="shared" si="8"/>
        <v>1381.1947199999968</v>
      </c>
      <c r="M78" s="4">
        <v>46914.910657420303</v>
      </c>
      <c r="N78" s="3"/>
      <c r="O78" s="7">
        <f t="shared" si="7"/>
        <v>13811.947199999968</v>
      </c>
      <c r="P78" s="8">
        <v>1494.0997041738899</v>
      </c>
      <c r="Q78" s="13" t="str">
        <f t="shared" si="9"/>
        <v>cut-off</v>
      </c>
    </row>
    <row r="79" spans="1:17" x14ac:dyDescent="0.25">
      <c r="A79" t="s">
        <v>7</v>
      </c>
      <c r="B79">
        <v>2521</v>
      </c>
      <c r="C79" t="s">
        <v>4</v>
      </c>
      <c r="D79" t="s">
        <v>5</v>
      </c>
      <c r="E79" s="3">
        <f t="shared" si="6"/>
        <v>266.28574838730219</v>
      </c>
      <c r="G79" s="4">
        <v>1950.2199999999939</v>
      </c>
      <c r="H79" s="4">
        <v>97.587691972622508</v>
      </c>
      <c r="I79" s="4">
        <v>0</v>
      </c>
      <c r="J79" s="4">
        <v>11.16838802737742</v>
      </c>
      <c r="K79" s="9">
        <f t="shared" si="8"/>
        <v>2058.9760799999935</v>
      </c>
      <c r="M79" s="4">
        <v>27936.431590319298</v>
      </c>
      <c r="N79" s="3"/>
      <c r="O79" s="7">
        <f t="shared" si="7"/>
        <v>20589.760799999935</v>
      </c>
      <c r="P79" s="8">
        <v>33.8619579765246</v>
      </c>
      <c r="Q79" s="13" t="str">
        <f t="shared" si="9"/>
        <v>cut-off</v>
      </c>
    </row>
    <row r="80" spans="1:17" x14ac:dyDescent="0.25">
      <c r="A80" t="s">
        <v>7</v>
      </c>
      <c r="B80">
        <v>311</v>
      </c>
      <c r="C80" t="s">
        <v>4</v>
      </c>
      <c r="D80" t="s">
        <v>5</v>
      </c>
      <c r="E80" s="3">
        <f t="shared" si="6"/>
        <v>2.6074053878893801</v>
      </c>
      <c r="G80" s="4">
        <v>93.333999999999904</v>
      </c>
      <c r="H80" s="4">
        <v>5283.4017365099098</v>
      </c>
      <c r="I80" s="4">
        <v>72.4966594556914</v>
      </c>
      <c r="J80" s="4">
        <v>143.254484034385</v>
      </c>
      <c r="K80" s="9">
        <f t="shared" si="8"/>
        <v>5592.4868799999867</v>
      </c>
      <c r="M80" s="4">
        <v>14058.3323346288</v>
      </c>
      <c r="N80" s="3"/>
      <c r="O80" s="7">
        <f t="shared" si="7"/>
        <v>19487.982683191443</v>
      </c>
      <c r="P80" s="8">
        <v>3.4846720432881</v>
      </c>
      <c r="Q80" s="13" t="str">
        <f t="shared" si="9"/>
        <v/>
      </c>
    </row>
    <row r="81" spans="1:17" x14ac:dyDescent="0.25">
      <c r="A81" t="s">
        <v>7</v>
      </c>
      <c r="B81">
        <v>312</v>
      </c>
      <c r="C81" t="s">
        <v>4</v>
      </c>
      <c r="D81" t="s">
        <v>5</v>
      </c>
      <c r="E81" s="3">
        <f t="shared" si="6"/>
        <v>2.3897537637656336</v>
      </c>
      <c r="G81" s="4">
        <v>48.221999999999923</v>
      </c>
      <c r="H81" s="4">
        <v>4467.4604065415997</v>
      </c>
      <c r="I81" s="4">
        <v>37.096828549051402</v>
      </c>
      <c r="J81" s="4">
        <v>234.22686490933353</v>
      </c>
      <c r="K81" s="9">
        <f t="shared" si="8"/>
        <v>4787.0060999999851</v>
      </c>
      <c r="M81" s="4">
        <v>10813.004606655601</v>
      </c>
      <c r="N81" s="3"/>
      <c r="O81" s="7">
        <f t="shared" si="7"/>
        <v>15352.370394214917</v>
      </c>
      <c r="P81" s="8">
        <v>3.20709229808898</v>
      </c>
      <c r="Q81" s="13" t="str">
        <f t="shared" si="9"/>
        <v/>
      </c>
    </row>
    <row r="82" spans="1:17" x14ac:dyDescent="0.25">
      <c r="A82" t="s">
        <v>7</v>
      </c>
      <c r="B82">
        <v>321</v>
      </c>
      <c r="C82" t="s">
        <v>4</v>
      </c>
      <c r="D82" t="s">
        <v>5</v>
      </c>
      <c r="E82" s="3">
        <f t="shared" si="6"/>
        <v>2.5525907399050287</v>
      </c>
      <c r="G82" s="4">
        <v>15.491999999999921</v>
      </c>
      <c r="H82" s="4">
        <v>4028.3809742701796</v>
      </c>
      <c r="I82" s="4">
        <v>51.598154554043404</v>
      </c>
      <c r="J82" s="4">
        <v>164.28839117576081</v>
      </c>
      <c r="K82" s="9">
        <f t="shared" si="8"/>
        <v>4259.7595199999832</v>
      </c>
      <c r="M82" s="4">
        <v>10430.008943242499</v>
      </c>
      <c r="N82" s="3"/>
      <c r="O82" s="7">
        <f t="shared" si="7"/>
        <v>14701.07515201973</v>
      </c>
      <c r="P82" s="8">
        <v>3.45115142838387</v>
      </c>
      <c r="Q82" s="13" t="str">
        <f t="shared" si="9"/>
        <v/>
      </c>
    </row>
    <row r="83" spans="1:17" x14ac:dyDescent="0.25">
      <c r="A83" t="s">
        <v>7</v>
      </c>
      <c r="B83">
        <v>322</v>
      </c>
      <c r="C83" t="s">
        <v>4</v>
      </c>
      <c r="D83" t="s">
        <v>5</v>
      </c>
      <c r="E83" s="3">
        <f t="shared" si="6"/>
        <v>2.516540160890421</v>
      </c>
      <c r="G83" s="4">
        <v>80.11799999999991</v>
      </c>
      <c r="H83" s="4">
        <v>4319.9094371818801</v>
      </c>
      <c r="I83" s="4">
        <v>90.501997741446203</v>
      </c>
      <c r="J83" s="4">
        <v>662.20450507665703</v>
      </c>
      <c r="K83" s="9">
        <f t="shared" si="8"/>
        <v>5152.7339399999828</v>
      </c>
      <c r="M83" s="4">
        <v>11179.095502034899</v>
      </c>
      <c r="N83" s="3"/>
      <c r="O83" s="7">
        <f t="shared" si="7"/>
        <v>18767.666843804978</v>
      </c>
      <c r="P83" s="8">
        <v>3.6422736089892198</v>
      </c>
      <c r="Q83" s="13" t="str">
        <f t="shared" si="9"/>
        <v/>
      </c>
    </row>
    <row r="84" spans="1:17" x14ac:dyDescent="0.25">
      <c r="A84" t="s">
        <v>7</v>
      </c>
      <c r="B84">
        <v>411</v>
      </c>
      <c r="C84" t="s">
        <v>4</v>
      </c>
      <c r="D84" t="s">
        <v>5</v>
      </c>
      <c r="E84" s="3">
        <f t="shared" si="6"/>
        <v>1.7957806039285962</v>
      </c>
      <c r="G84" s="4">
        <v>34.717999999999897</v>
      </c>
      <c r="H84" s="4">
        <v>5082.3611060694693</v>
      </c>
      <c r="I84" s="4">
        <v>12.47334960474946</v>
      </c>
      <c r="J84" s="4">
        <v>68.525964325776599</v>
      </c>
      <c r="K84" s="9">
        <f t="shared" si="8"/>
        <v>5198.0784199999953</v>
      </c>
      <c r="M84" s="4">
        <v>9183.9228957268697</v>
      </c>
      <c r="N84" s="3"/>
      <c r="O84" s="7">
        <f t="shared" si="7"/>
        <v>13886.954924109332</v>
      </c>
      <c r="P84" s="8">
        <v>2.6715554868657301</v>
      </c>
      <c r="Q84" s="13" t="str">
        <f t="shared" si="9"/>
        <v/>
      </c>
    </row>
    <row r="85" spans="1:17" x14ac:dyDescent="0.25">
      <c r="A85" t="s">
        <v>7</v>
      </c>
      <c r="B85">
        <v>421</v>
      </c>
      <c r="C85" t="s">
        <v>4</v>
      </c>
      <c r="D85" t="s">
        <v>5</v>
      </c>
      <c r="E85" s="3">
        <f t="shared" si="6"/>
        <v>2.2595071102902966</v>
      </c>
      <c r="G85" s="4">
        <v>210.91399999999999</v>
      </c>
      <c r="H85" s="4">
        <v>5265.82502907046</v>
      </c>
      <c r="I85" s="4">
        <v>90.789361516561598</v>
      </c>
      <c r="J85" s="4">
        <v>267.3785694129769</v>
      </c>
      <c r="K85" s="9">
        <f t="shared" si="8"/>
        <v>5834.9069599999975</v>
      </c>
      <c r="M85" s="4">
        <v>12314.2223026147</v>
      </c>
      <c r="N85" s="3"/>
      <c r="O85" s="7">
        <f t="shared" si="7"/>
        <v>17232.530107428669</v>
      </c>
      <c r="P85" s="8">
        <v>2.95335130886623</v>
      </c>
      <c r="Q85" s="13" t="str">
        <f t="shared" si="9"/>
        <v/>
      </c>
    </row>
    <row r="86" spans="1:17" x14ac:dyDescent="0.25">
      <c r="A86" t="s">
        <v>7</v>
      </c>
      <c r="B86">
        <v>422</v>
      </c>
      <c r="C86" t="s">
        <v>4</v>
      </c>
      <c r="D86" t="s">
        <v>5</v>
      </c>
      <c r="E86" s="3">
        <f t="shared" si="6"/>
        <v>2.2531919666390841</v>
      </c>
      <c r="G86" s="4">
        <v>22.397999999999961</v>
      </c>
      <c r="H86" s="4">
        <v>2058.7832845088819</v>
      </c>
      <c r="I86" s="4">
        <v>48.199238950595401</v>
      </c>
      <c r="J86" s="4">
        <v>74.156796540519395</v>
      </c>
      <c r="K86" s="9">
        <f t="shared" si="8"/>
        <v>2203.5373199999967</v>
      </c>
      <c r="M86" s="4">
        <v>4769.8340957078399</v>
      </c>
      <c r="N86" s="3"/>
      <c r="O86" s="7">
        <f t="shared" si="7"/>
        <v>9367.6220684733089</v>
      </c>
      <c r="P86" s="8">
        <v>4.2511746832921</v>
      </c>
      <c r="Q86" s="13" t="str">
        <f t="shared" si="9"/>
        <v/>
      </c>
    </row>
    <row r="87" spans="1:17" x14ac:dyDescent="0.25">
      <c r="A87" t="s">
        <v>7</v>
      </c>
      <c r="B87">
        <v>431</v>
      </c>
      <c r="C87" t="s">
        <v>4</v>
      </c>
      <c r="D87" t="s">
        <v>5</v>
      </c>
      <c r="E87" s="3">
        <f t="shared" si="6"/>
        <v>2.0299146181198466</v>
      </c>
      <c r="G87" s="4">
        <v>154.01599999999971</v>
      </c>
      <c r="H87" s="4">
        <v>7694.3931297256295</v>
      </c>
      <c r="I87" s="4">
        <v>41.993457325402105</v>
      </c>
      <c r="J87" s="4">
        <v>290.14569294896103</v>
      </c>
      <c r="K87" s="9">
        <f t="shared" si="8"/>
        <v>8180.5482799999927</v>
      </c>
      <c r="M87" s="4">
        <v>15858.2202244812</v>
      </c>
      <c r="N87" s="3"/>
      <c r="O87" s="7">
        <f t="shared" si="7"/>
        <v>25073.968880709788</v>
      </c>
      <c r="P87" s="8">
        <v>3.06507192702612</v>
      </c>
      <c r="Q87" s="13" t="str">
        <f t="shared" si="9"/>
        <v/>
      </c>
    </row>
    <row r="88" spans="1:17" x14ac:dyDescent="0.25">
      <c r="A88" t="s">
        <v>7</v>
      </c>
      <c r="B88">
        <v>511</v>
      </c>
      <c r="C88" t="s">
        <v>4</v>
      </c>
      <c r="D88" t="s">
        <v>5</v>
      </c>
      <c r="E88" s="3">
        <f t="shared" si="6"/>
        <v>1.2920889861409131</v>
      </c>
      <c r="G88" s="4">
        <v>50.293999999999897</v>
      </c>
      <c r="H88" s="4">
        <v>11418.055972494582</v>
      </c>
      <c r="I88" s="4">
        <v>37.601878947197399</v>
      </c>
      <c r="J88" s="4">
        <v>370.08266855821199</v>
      </c>
      <c r="K88" s="9">
        <f t="shared" si="8"/>
        <v>11876.034519999992</v>
      </c>
      <c r="M88" s="4">
        <v>14852.0233388466</v>
      </c>
      <c r="N88" s="3"/>
      <c r="O88" s="7">
        <f t="shared" si="7"/>
        <v>24809.47470437302</v>
      </c>
      <c r="P88" s="8">
        <v>2.0890369308536698</v>
      </c>
      <c r="Q88" s="13" t="str">
        <f t="shared" si="9"/>
        <v/>
      </c>
    </row>
    <row r="89" spans="1:17" x14ac:dyDescent="0.25">
      <c r="A89" t="s">
        <v>7</v>
      </c>
      <c r="B89">
        <v>512</v>
      </c>
      <c r="C89" t="s">
        <v>4</v>
      </c>
      <c r="D89" t="s">
        <v>5</v>
      </c>
      <c r="E89" s="3">
        <f t="shared" si="6"/>
        <v>1.4049587464922437</v>
      </c>
      <c r="G89" s="4">
        <v>18.211999999999932</v>
      </c>
      <c r="H89" s="4">
        <v>8414.9592760834312</v>
      </c>
      <c r="I89" s="4">
        <v>148.5438033675363</v>
      </c>
      <c r="J89" s="4">
        <v>596.818040549015</v>
      </c>
      <c r="K89" s="9">
        <f t="shared" si="8"/>
        <v>9178.5331199999819</v>
      </c>
      <c r="M89" s="4">
        <v>12049.5805520879</v>
      </c>
      <c r="N89" s="3"/>
      <c r="O89" s="7">
        <f t="shared" si="7"/>
        <v>19311.869480054283</v>
      </c>
      <c r="P89" s="8">
        <v>2.1040256898974201</v>
      </c>
      <c r="Q89" s="13" t="str">
        <f t="shared" si="9"/>
        <v/>
      </c>
    </row>
    <row r="90" spans="1:17" x14ac:dyDescent="0.25">
      <c r="A90" t="s">
        <v>7</v>
      </c>
      <c r="B90">
        <v>513</v>
      </c>
      <c r="C90" t="s">
        <v>4</v>
      </c>
      <c r="D90" t="s">
        <v>5</v>
      </c>
      <c r="E90" s="3">
        <f t="shared" si="6"/>
        <v>1.6249685281933282</v>
      </c>
      <c r="G90" s="4">
        <v>37.477999999999888</v>
      </c>
      <c r="H90" s="4">
        <v>2616.9168810365572</v>
      </c>
      <c r="I90" s="4">
        <v>1.213087473960242</v>
      </c>
      <c r="J90" s="4">
        <v>87.286711489477199</v>
      </c>
      <c r="K90" s="9">
        <f t="shared" si="8"/>
        <v>2742.8946799999944</v>
      </c>
      <c r="M90" s="4">
        <v>4291.8568015493802</v>
      </c>
      <c r="N90" s="3"/>
      <c r="O90" s="7">
        <f t="shared" si="7"/>
        <v>7395.272262700797</v>
      </c>
      <c r="P90" s="8">
        <v>2.69615611442318</v>
      </c>
      <c r="Q90" s="13" t="str">
        <f t="shared" si="9"/>
        <v/>
      </c>
    </row>
    <row r="91" spans="1:17" x14ac:dyDescent="0.25">
      <c r="A91" t="s">
        <v>7</v>
      </c>
      <c r="B91">
        <v>514</v>
      </c>
      <c r="C91" t="s">
        <v>4</v>
      </c>
      <c r="D91" t="s">
        <v>5</v>
      </c>
      <c r="E91" s="3">
        <f t="shared" si="6"/>
        <v>1.3285576168823945</v>
      </c>
      <c r="G91" s="4">
        <v>91.424000000000007</v>
      </c>
      <c r="H91" s="4">
        <v>7602.69130911098</v>
      </c>
      <c r="I91" s="4">
        <v>32.610358697269298</v>
      </c>
      <c r="J91" s="4">
        <v>262.10557219173569</v>
      </c>
      <c r="K91" s="9">
        <f t="shared" si="8"/>
        <v>7988.831239999985</v>
      </c>
      <c r="M91" s="4">
        <v>10235.3621879615</v>
      </c>
      <c r="N91" s="3"/>
      <c r="O91" s="7">
        <f t="shared" si="7"/>
        <v>18810.008460938665</v>
      </c>
      <c r="P91" s="8">
        <v>2.3545382166489102</v>
      </c>
      <c r="Q91" s="13" t="str">
        <f t="shared" si="9"/>
        <v/>
      </c>
    </row>
    <row r="92" spans="1:17" x14ac:dyDescent="0.25">
      <c r="A92" t="s">
        <v>7</v>
      </c>
      <c r="B92">
        <v>515</v>
      </c>
      <c r="C92" t="s">
        <v>4</v>
      </c>
      <c r="D92" t="s">
        <v>5</v>
      </c>
      <c r="E92" s="3">
        <f t="shared" si="6"/>
        <v>1.6772186846578756</v>
      </c>
      <c r="G92" s="4">
        <v>23.485999999999997</v>
      </c>
      <c r="H92" s="4">
        <v>7732.8364481708904</v>
      </c>
      <c r="I92" s="4">
        <v>45.651459965137498</v>
      </c>
      <c r="J92" s="4">
        <v>332.55125186395799</v>
      </c>
      <c r="K92" s="9">
        <f t="shared" si="8"/>
        <v>8134.5251599999856</v>
      </c>
      <c r="M92" s="4">
        <v>13069.7112579111</v>
      </c>
      <c r="N92" s="3"/>
      <c r="O92" s="7">
        <f t="shared" si="7"/>
        <v>21045.507911477449</v>
      </c>
      <c r="P92" s="8">
        <v>2.5871833324660201</v>
      </c>
      <c r="Q92" s="13" t="str">
        <f t="shared" si="9"/>
        <v/>
      </c>
    </row>
    <row r="93" spans="1:17" x14ac:dyDescent="0.25">
      <c r="A93" t="s">
        <v>7</v>
      </c>
      <c r="B93">
        <v>521</v>
      </c>
      <c r="C93" t="s">
        <v>4</v>
      </c>
      <c r="D93" t="s">
        <v>5</v>
      </c>
      <c r="E93" s="3">
        <f t="shared" si="6"/>
        <v>2.6893322480213113</v>
      </c>
      <c r="G93" s="4">
        <v>16.737999999999971</v>
      </c>
      <c r="H93" s="4">
        <v>5257.3241857847697</v>
      </c>
      <c r="I93" s="4">
        <v>7.0424155610275605</v>
      </c>
      <c r="J93" s="4">
        <v>131.95511865420039</v>
      </c>
      <c r="K93" s="9">
        <f t="shared" si="8"/>
        <v>5413.0597199999975</v>
      </c>
      <c r="M93" s="4">
        <v>14174.368866405601</v>
      </c>
      <c r="N93" s="3"/>
      <c r="O93" s="7">
        <f t="shared" si="7"/>
        <v>19754.865683486434</v>
      </c>
      <c r="P93" s="8">
        <v>3.6494823085909802</v>
      </c>
      <c r="Q93" s="13" t="str">
        <f t="shared" si="9"/>
        <v/>
      </c>
    </row>
    <row r="94" spans="1:17" x14ac:dyDescent="0.25">
      <c r="A94" t="s">
        <v>7</v>
      </c>
      <c r="B94">
        <v>611</v>
      </c>
      <c r="C94" t="s">
        <v>4</v>
      </c>
      <c r="D94" t="s">
        <v>5</v>
      </c>
      <c r="E94" s="3">
        <f t="shared" si="6"/>
        <v>1.3283284106206288</v>
      </c>
      <c r="G94" s="4">
        <v>41.003999999999969</v>
      </c>
      <c r="H94" s="4">
        <v>9356.2123751227809</v>
      </c>
      <c r="I94" s="4">
        <v>1.6337265829345111</v>
      </c>
      <c r="J94" s="4">
        <v>207.73185829427439</v>
      </c>
      <c r="K94" s="9">
        <f t="shared" si="8"/>
        <v>9606.5819599999923</v>
      </c>
      <c r="M94" s="4">
        <v>12471.296839111201</v>
      </c>
      <c r="N94" s="3"/>
      <c r="O94" s="7">
        <f t="shared" si="7"/>
        <v>29670.898105987788</v>
      </c>
      <c r="P94" s="8">
        <v>3.0886009435543098</v>
      </c>
      <c r="Q94" s="13" t="str">
        <f t="shared" si="9"/>
        <v/>
      </c>
    </row>
    <row r="95" spans="1:17" x14ac:dyDescent="0.25">
      <c r="A95" t="s">
        <v>7</v>
      </c>
      <c r="B95">
        <v>612</v>
      </c>
      <c r="C95" t="s">
        <v>4</v>
      </c>
      <c r="D95" t="s">
        <v>5</v>
      </c>
      <c r="E95" s="3">
        <f t="shared" si="6"/>
        <v>1.3342428291016424</v>
      </c>
      <c r="G95" s="4">
        <v>50.703999999999979</v>
      </c>
      <c r="H95" s="4">
        <v>11564.274949533359</v>
      </c>
      <c r="I95" s="4">
        <v>3.1940336225211738</v>
      </c>
      <c r="J95" s="4">
        <v>378.58197684410425</v>
      </c>
      <c r="K95" s="9">
        <f t="shared" si="8"/>
        <v>11996.754959999984</v>
      </c>
      <c r="M95" s="4">
        <v>15484.516541631399</v>
      </c>
      <c r="N95" s="3"/>
      <c r="O95" s="7">
        <f t="shared" si="7"/>
        <v>28181.392096638556</v>
      </c>
      <c r="P95" s="8">
        <v>2.3490845808389</v>
      </c>
      <c r="Q95" s="13" t="str">
        <f t="shared" si="9"/>
        <v/>
      </c>
    </row>
    <row r="96" spans="1:17" x14ac:dyDescent="0.25">
      <c r="A96" t="s">
        <v>7</v>
      </c>
      <c r="B96">
        <v>621</v>
      </c>
      <c r="C96" t="s">
        <v>4</v>
      </c>
      <c r="D96" t="s">
        <v>5</v>
      </c>
      <c r="E96" s="3">
        <f t="shared" si="6"/>
        <v>1.5397045714829158</v>
      </c>
      <c r="G96" s="4">
        <v>52.689999999999984</v>
      </c>
      <c r="H96" s="4">
        <v>9424.1185796028294</v>
      </c>
      <c r="I96" s="4">
        <v>21.171077828615079</v>
      </c>
      <c r="J96" s="4">
        <v>99.199342568542107</v>
      </c>
      <c r="K96" s="9">
        <f t="shared" si="8"/>
        <v>9597.1789999999855</v>
      </c>
      <c r="M96" s="4">
        <v>14595.645664527499</v>
      </c>
      <c r="N96" s="3"/>
      <c r="O96" s="7">
        <f t="shared" si="7"/>
        <v>32462.255048260511</v>
      </c>
      <c r="P96" s="8">
        <v>3.3824788563660801</v>
      </c>
      <c r="Q96" s="13" t="str">
        <f t="shared" si="9"/>
        <v/>
      </c>
    </row>
    <row r="97" spans="1:17" x14ac:dyDescent="0.25">
      <c r="A97" t="s">
        <v>7</v>
      </c>
      <c r="B97">
        <v>622</v>
      </c>
      <c r="C97" t="s">
        <v>4</v>
      </c>
      <c r="D97" t="s">
        <v>5</v>
      </c>
      <c r="E97" s="3">
        <f t="shared" si="6"/>
        <v>1.2815448105396587</v>
      </c>
      <c r="G97" s="4">
        <v>72.473999999999904</v>
      </c>
      <c r="H97" s="4">
        <v>18296.10376694868</v>
      </c>
      <c r="I97" s="4">
        <v>8.01063990770629</v>
      </c>
      <c r="J97" s="4">
        <v>357.40387314355957</v>
      </c>
      <c r="K97" s="9">
        <f t="shared" si="8"/>
        <v>18733.992279999944</v>
      </c>
      <c r="M97" s="4">
        <v>23530.016829631</v>
      </c>
      <c r="N97" s="3"/>
      <c r="O97" s="7">
        <f t="shared" si="7"/>
        <v>50389.65088757898</v>
      </c>
      <c r="P97" s="8">
        <v>2.6897444033525102</v>
      </c>
      <c r="Q97" s="13" t="str">
        <f t="shared" si="9"/>
        <v/>
      </c>
    </row>
    <row r="98" spans="1:17" x14ac:dyDescent="0.25">
      <c r="A98" t="s">
        <v>7</v>
      </c>
      <c r="B98">
        <v>711</v>
      </c>
      <c r="C98" t="s">
        <v>4</v>
      </c>
      <c r="D98" t="s">
        <v>5</v>
      </c>
      <c r="E98" s="3">
        <f t="shared" si="6"/>
        <v>1.3882409299923901</v>
      </c>
      <c r="G98" s="4">
        <v>31.357999999999929</v>
      </c>
      <c r="H98" s="4">
        <v>8126.41985919729</v>
      </c>
      <c r="I98" s="4">
        <v>18.08082306272636</v>
      </c>
      <c r="J98" s="4">
        <v>18.257877739978522</v>
      </c>
      <c r="K98" s="9">
        <f t="shared" si="8"/>
        <v>8194.1165599999949</v>
      </c>
      <c r="M98" s="4">
        <v>11337.8872014643</v>
      </c>
      <c r="N98" s="3"/>
      <c r="O98" s="7">
        <f t="shared" si="7"/>
        <v>25674.494104394133</v>
      </c>
      <c r="P98" s="8">
        <v>3.1332839747149199</v>
      </c>
      <c r="Q98" s="13" t="str">
        <f t="shared" si="9"/>
        <v/>
      </c>
    </row>
    <row r="99" spans="1:17" x14ac:dyDescent="0.25">
      <c r="A99" t="s">
        <v>7</v>
      </c>
      <c r="B99">
        <v>731</v>
      </c>
      <c r="C99" t="s">
        <v>4</v>
      </c>
      <c r="D99" t="s">
        <v>5</v>
      </c>
      <c r="E99" s="3">
        <f t="shared" ref="E99:E108" si="10">(M99-G99)/SUM(H99:I99)</f>
        <v>1.4914110548765827</v>
      </c>
      <c r="G99" s="4">
        <v>123.13399999999949</v>
      </c>
      <c r="H99" s="4">
        <v>9814.0016350170117</v>
      </c>
      <c r="I99" s="4">
        <v>15.2854920144453</v>
      </c>
      <c r="J99" s="4">
        <v>130.86395296853539</v>
      </c>
      <c r="K99" s="9">
        <f t="shared" si="8"/>
        <v>10083.285079999992</v>
      </c>
      <c r="M99" s="4">
        <v>14782.641482810801</v>
      </c>
      <c r="N99" s="3"/>
      <c r="O99" s="7">
        <f t="shared" ref="O99:O108" si="11">SUM(G99:J99)*MIN(P99,$S$3)</f>
        <v>34143.705010958736</v>
      </c>
      <c r="P99" s="8">
        <v>3.38616876742701</v>
      </c>
      <c r="Q99" s="13" t="str">
        <f t="shared" si="9"/>
        <v/>
      </c>
    </row>
    <row r="100" spans="1:17" x14ac:dyDescent="0.25">
      <c r="A100" t="s">
        <v>7</v>
      </c>
      <c r="B100">
        <v>811</v>
      </c>
      <c r="C100" t="s">
        <v>4</v>
      </c>
      <c r="D100" t="s">
        <v>5</v>
      </c>
      <c r="E100" s="3">
        <f t="shared" si="10"/>
        <v>1.0052515610038153</v>
      </c>
      <c r="G100" s="4">
        <v>228.00599999999937</v>
      </c>
      <c r="H100" s="4">
        <v>6813.2971638760037</v>
      </c>
      <c r="I100" s="4">
        <v>27253.188655504011</v>
      </c>
      <c r="J100" s="4">
        <v>90.660920619949763</v>
      </c>
      <c r="K100" s="9">
        <f t="shared" si="8"/>
        <v>34385.152739999961</v>
      </c>
      <c r="M100" s="4">
        <v>34473.394047846101</v>
      </c>
      <c r="N100" s="3"/>
      <c r="O100" s="7">
        <f t="shared" si="11"/>
        <v>49835.066150739913</v>
      </c>
      <c r="P100" s="8">
        <v>1.4493193189386999</v>
      </c>
      <c r="Q100" s="13" t="str">
        <f t="shared" si="9"/>
        <v/>
      </c>
    </row>
    <row r="101" spans="1:17" x14ac:dyDescent="0.25">
      <c r="A101" t="s">
        <v>7</v>
      </c>
      <c r="B101">
        <v>812</v>
      </c>
      <c r="C101" t="s">
        <v>4</v>
      </c>
      <c r="D101" t="s">
        <v>5</v>
      </c>
      <c r="E101" s="3">
        <f t="shared" si="10"/>
        <v>1.3059112296894684</v>
      </c>
      <c r="G101" s="4">
        <v>432.7879999999991</v>
      </c>
      <c r="H101" s="4">
        <v>4751.6870342464163</v>
      </c>
      <c r="I101" s="4">
        <v>19006.748136985661</v>
      </c>
      <c r="J101" s="4">
        <v>235.56104876786088</v>
      </c>
      <c r="K101" s="9">
        <f t="shared" si="8"/>
        <v>24426.78421999994</v>
      </c>
      <c r="M101" s="4">
        <v>31459.195289961201</v>
      </c>
      <c r="N101" s="3"/>
      <c r="O101" s="7">
        <f t="shared" si="11"/>
        <v>37381.98987826526</v>
      </c>
      <c r="P101" s="8">
        <v>1.53036885828213</v>
      </c>
      <c r="Q101" s="13" t="str">
        <f t="shared" si="9"/>
        <v/>
      </c>
    </row>
    <row r="102" spans="1:17" x14ac:dyDescent="0.25">
      <c r="A102" t="s">
        <v>7</v>
      </c>
      <c r="B102">
        <v>813</v>
      </c>
      <c r="C102" t="s">
        <v>4</v>
      </c>
      <c r="D102" t="s">
        <v>5</v>
      </c>
      <c r="E102" s="3">
        <f t="shared" si="10"/>
        <v>1.7901208314112864</v>
      </c>
      <c r="G102" s="4">
        <v>114.35399999999906</v>
      </c>
      <c r="H102" s="4">
        <v>5813.3571152977784</v>
      </c>
      <c r="I102" s="4">
        <v>37.326561309855229</v>
      </c>
      <c r="J102" s="4">
        <v>105.6330033923589</v>
      </c>
      <c r="K102" s="9">
        <f t="shared" si="8"/>
        <v>6070.670679999992</v>
      </c>
      <c r="M102" s="4">
        <v>10587.784727493299</v>
      </c>
      <c r="N102" s="3"/>
      <c r="O102" s="7">
        <f t="shared" si="11"/>
        <v>19482.08797687526</v>
      </c>
      <c r="P102" s="8">
        <v>3.2092150939861699</v>
      </c>
      <c r="Q102" s="13" t="str">
        <f t="shared" si="9"/>
        <v/>
      </c>
    </row>
    <row r="103" spans="1:17" x14ac:dyDescent="0.25">
      <c r="A103" t="s">
        <v>7</v>
      </c>
      <c r="B103">
        <v>814</v>
      </c>
      <c r="C103" t="s">
        <v>4</v>
      </c>
      <c r="D103" t="s">
        <v>5</v>
      </c>
      <c r="E103" s="3">
        <f t="shared" si="10"/>
        <v>1.8431516632189833</v>
      </c>
      <c r="G103" s="4">
        <v>37.091999999999942</v>
      </c>
      <c r="H103" s="4">
        <v>9333.0537430484292</v>
      </c>
      <c r="I103" s="4">
        <v>1.8443948036236819</v>
      </c>
      <c r="J103" s="4">
        <v>332.57754214793528</v>
      </c>
      <c r="K103" s="9">
        <f t="shared" si="8"/>
        <v>9704.5676799999892</v>
      </c>
      <c r="M103" s="4">
        <v>17242.725028761801</v>
      </c>
      <c r="N103" s="3"/>
      <c r="O103" s="7">
        <f t="shared" si="11"/>
        <v>32623.001336926081</v>
      </c>
      <c r="P103" s="8">
        <v>3.3616130478597599</v>
      </c>
      <c r="Q103" s="13" t="str">
        <f t="shared" si="9"/>
        <v/>
      </c>
    </row>
    <row r="104" spans="1:17" x14ac:dyDescent="0.25">
      <c r="A104" t="s">
        <v>7</v>
      </c>
      <c r="B104">
        <v>821</v>
      </c>
      <c r="C104" t="s">
        <v>4</v>
      </c>
      <c r="D104" t="s">
        <v>5</v>
      </c>
      <c r="E104" s="3">
        <f t="shared" si="10"/>
        <v>1.4209868273149215</v>
      </c>
      <c r="G104" s="4">
        <v>50.351999999999933</v>
      </c>
      <c r="H104" s="4">
        <v>12154.965748974839</v>
      </c>
      <c r="I104" s="4">
        <v>95.26251661395851</v>
      </c>
      <c r="J104" s="4">
        <v>637.49809441118703</v>
      </c>
      <c r="K104" s="9">
        <f t="shared" si="8"/>
        <v>12938.078359999985</v>
      </c>
      <c r="M104" s="4">
        <v>17457.7649970026</v>
      </c>
      <c r="N104" s="3"/>
      <c r="O104" s="7">
        <f t="shared" si="11"/>
        <v>38089.197139365759</v>
      </c>
      <c r="P104" s="8">
        <v>2.94396092522706</v>
      </c>
      <c r="Q104" s="13" t="str">
        <f t="shared" si="9"/>
        <v/>
      </c>
    </row>
    <row r="105" spans="1:17" x14ac:dyDescent="0.25">
      <c r="A105" t="s">
        <v>7</v>
      </c>
      <c r="B105">
        <v>831</v>
      </c>
      <c r="C105" t="s">
        <v>4</v>
      </c>
      <c r="D105" t="s">
        <v>5</v>
      </c>
      <c r="E105" s="3">
        <f t="shared" si="10"/>
        <v>1.8838791503460062</v>
      </c>
      <c r="G105" s="4">
        <v>158.2699999999995</v>
      </c>
      <c r="H105" s="4">
        <v>13002.98873537396</v>
      </c>
      <c r="I105" s="4">
        <v>45.626792622725851</v>
      </c>
      <c r="J105" s="4">
        <v>298.0671120032365</v>
      </c>
      <c r="K105" s="9">
        <f t="shared" si="8"/>
        <v>13504.952639999921</v>
      </c>
      <c r="M105" s="4">
        <v>24740.284734074099</v>
      </c>
      <c r="N105" s="3"/>
      <c r="O105" s="7">
        <f t="shared" si="11"/>
        <v>46495.016504138133</v>
      </c>
      <c r="P105" s="8">
        <v>3.4428122588468701</v>
      </c>
      <c r="Q105" s="13" t="str">
        <f t="shared" si="9"/>
        <v/>
      </c>
    </row>
    <row r="106" spans="1:17" x14ac:dyDescent="0.25">
      <c r="A106" t="s">
        <v>7</v>
      </c>
      <c r="B106">
        <v>911</v>
      </c>
      <c r="C106" t="s">
        <v>4</v>
      </c>
      <c r="D106" t="s">
        <v>5</v>
      </c>
      <c r="E106" s="3">
        <f t="shared" si="10"/>
        <v>1.7509378662378685</v>
      </c>
      <c r="G106" s="4">
        <v>91.897999999999897</v>
      </c>
      <c r="H106" s="4">
        <v>2035.2849968555488</v>
      </c>
      <c r="I106" s="4">
        <v>8141.1399874221897</v>
      </c>
      <c r="J106" s="4">
        <v>869.93441572224401</v>
      </c>
      <c r="K106" s="9">
        <f t="shared" si="8"/>
        <v>11138.257399999982</v>
      </c>
      <c r="M106" s="4">
        <v>17910.185847901001</v>
      </c>
      <c r="N106" s="3"/>
      <c r="O106" s="7">
        <f t="shared" si="11"/>
        <v>17821.464363471077</v>
      </c>
      <c r="P106" s="8">
        <v>1.6000226717216199</v>
      </c>
      <c r="Q106" s="13" t="str">
        <f t="shared" si="9"/>
        <v/>
      </c>
    </row>
    <row r="107" spans="1:17" x14ac:dyDescent="0.25">
      <c r="A107" t="s">
        <v>7</v>
      </c>
      <c r="B107">
        <v>912</v>
      </c>
      <c r="C107" t="s">
        <v>4</v>
      </c>
      <c r="D107" t="s">
        <v>5</v>
      </c>
      <c r="E107" s="3">
        <f t="shared" si="10"/>
        <v>2.7557449119837001</v>
      </c>
      <c r="G107" s="4">
        <v>85.513999999999896</v>
      </c>
      <c r="H107" s="4">
        <v>1155.20969546888</v>
      </c>
      <c r="I107" s="4">
        <v>4620.83878187551</v>
      </c>
      <c r="J107" s="4">
        <v>490.40300265559199</v>
      </c>
      <c r="K107" s="9">
        <f t="shared" si="8"/>
        <v>6351.9654799999817</v>
      </c>
      <c r="M107" s="4">
        <v>16002.830202813</v>
      </c>
      <c r="N107" s="3"/>
      <c r="O107" s="7">
        <f t="shared" si="11"/>
        <v>14889.918806245867</v>
      </c>
      <c r="P107" s="8">
        <v>2.34414353370288</v>
      </c>
      <c r="Q107" s="13" t="str">
        <f t="shared" si="9"/>
        <v/>
      </c>
    </row>
    <row r="108" spans="1:17" x14ac:dyDescent="0.25">
      <c r="A108" t="s">
        <v>7</v>
      </c>
      <c r="B108">
        <v>913</v>
      </c>
      <c r="C108" t="s">
        <v>4</v>
      </c>
      <c r="D108" t="s">
        <v>5</v>
      </c>
      <c r="E108" s="3">
        <f t="shared" si="10"/>
        <v>2.45920723367515</v>
      </c>
      <c r="G108" s="4">
        <v>59.885999999999903</v>
      </c>
      <c r="H108" s="4">
        <v>2699.2987190532122</v>
      </c>
      <c r="I108" s="4">
        <v>10797.19487621288</v>
      </c>
      <c r="J108" s="4">
        <v>1153.3107047338972</v>
      </c>
      <c r="K108" s="9">
        <f t="shared" si="8"/>
        <v>14709.690299999987</v>
      </c>
      <c r="M108" s="4">
        <v>33250.560678728703</v>
      </c>
      <c r="N108" s="3"/>
      <c r="O108" s="7">
        <f t="shared" si="11"/>
        <v>23688.462530747092</v>
      </c>
      <c r="P108" s="8">
        <v>1.61039845487074</v>
      </c>
      <c r="Q108" s="13" t="str">
        <f t="shared" si="9"/>
        <v/>
      </c>
    </row>
    <row r="109" spans="1:17" x14ac:dyDescent="0.25">
      <c r="A109" t="s">
        <v>8</v>
      </c>
      <c r="B109">
        <v>1011</v>
      </c>
      <c r="C109" t="s">
        <v>4</v>
      </c>
      <c r="D109" t="s">
        <v>5</v>
      </c>
      <c r="E109" s="3">
        <f>E3</f>
        <v>1.6081167250830555</v>
      </c>
      <c r="F109" s="1" t="s">
        <v>17</v>
      </c>
      <c r="G109" s="9">
        <f>SUM(G3:G108)</f>
        <v>11997.131999999983</v>
      </c>
      <c r="H109" s="9">
        <f t="shared" ref="H109:O109" si="12">SUM(H3:H108)</f>
        <v>445155.13490890671</v>
      </c>
      <c r="I109" s="9">
        <f t="shared" si="12"/>
        <v>73809.771726435472</v>
      </c>
      <c r="J109" s="9">
        <f t="shared" si="12"/>
        <v>16730.803324656586</v>
      </c>
      <c r="K109" s="9">
        <f t="shared" si="12"/>
        <v>547692.84195999883</v>
      </c>
      <c r="M109" s="9">
        <f t="shared" si="12"/>
        <v>1206725.0742028886</v>
      </c>
      <c r="O109" s="10">
        <f t="shared" si="12"/>
        <v>1838800.6434958207</v>
      </c>
    </row>
    <row r="110" spans="1:17" x14ac:dyDescent="0.25">
      <c r="A110" t="s">
        <v>8</v>
      </c>
      <c r="B110">
        <v>111</v>
      </c>
      <c r="C110" t="s">
        <v>4</v>
      </c>
      <c r="D110" t="s">
        <v>5</v>
      </c>
      <c r="E110" s="3">
        <f t="shared" ref="E110:E173" si="13">E4</f>
        <v>4.0698517682069193</v>
      </c>
    </row>
    <row r="111" spans="1:17" x14ac:dyDescent="0.25">
      <c r="A111" t="s">
        <v>8</v>
      </c>
      <c r="B111">
        <v>1111</v>
      </c>
      <c r="C111" t="s">
        <v>4</v>
      </c>
      <c r="D111" t="s">
        <v>5</v>
      </c>
      <c r="E111" s="3">
        <f t="shared" si="13"/>
        <v>1.5272826289777168</v>
      </c>
    </row>
    <row r="112" spans="1:17" x14ac:dyDescent="0.25">
      <c r="A112" t="s">
        <v>8</v>
      </c>
      <c r="B112">
        <v>1112</v>
      </c>
      <c r="C112" t="s">
        <v>4</v>
      </c>
      <c r="D112" t="s">
        <v>5</v>
      </c>
      <c r="E112" s="3">
        <f t="shared" si="13"/>
        <v>1.3902318565114877</v>
      </c>
    </row>
    <row r="113" spans="1:5" x14ac:dyDescent="0.25">
      <c r="A113" t="s">
        <v>8</v>
      </c>
      <c r="B113">
        <v>112</v>
      </c>
      <c r="C113" t="s">
        <v>4</v>
      </c>
      <c r="D113" t="s">
        <v>5</v>
      </c>
      <c r="E113" s="3">
        <f t="shared" si="13"/>
        <v>3.5733057358983253</v>
      </c>
    </row>
    <row r="114" spans="1:5" x14ac:dyDescent="0.25">
      <c r="A114" t="s">
        <v>8</v>
      </c>
      <c r="B114">
        <v>1121</v>
      </c>
      <c r="C114" t="s">
        <v>4</v>
      </c>
      <c r="D114" t="s">
        <v>5</v>
      </c>
      <c r="E114" s="3">
        <f t="shared" si="13"/>
        <v>1.4282433471428584</v>
      </c>
    </row>
    <row r="115" spans="1:5" x14ac:dyDescent="0.25">
      <c r="A115" t="s">
        <v>8</v>
      </c>
      <c r="B115">
        <v>1122</v>
      </c>
      <c r="C115" t="s">
        <v>4</v>
      </c>
      <c r="D115" t="s">
        <v>5</v>
      </c>
      <c r="E115" s="3">
        <f t="shared" si="13"/>
        <v>1.5416883930062919</v>
      </c>
    </row>
    <row r="116" spans="1:5" x14ac:dyDescent="0.25">
      <c r="A116" t="s">
        <v>8</v>
      </c>
      <c r="B116">
        <v>1123</v>
      </c>
      <c r="C116" t="s">
        <v>4</v>
      </c>
      <c r="D116" t="s">
        <v>5</v>
      </c>
      <c r="E116" s="3">
        <f t="shared" si="13"/>
        <v>3.6232970923317014</v>
      </c>
    </row>
    <row r="117" spans="1:5" x14ac:dyDescent="0.25">
      <c r="A117" t="s">
        <v>8</v>
      </c>
      <c r="B117">
        <v>1124</v>
      </c>
      <c r="C117" t="s">
        <v>4</v>
      </c>
      <c r="D117" t="s">
        <v>5</v>
      </c>
      <c r="E117" s="3">
        <f t="shared" si="13"/>
        <v>1.8357651277398577</v>
      </c>
    </row>
    <row r="118" spans="1:5" x14ac:dyDescent="0.25">
      <c r="A118" t="s">
        <v>8</v>
      </c>
      <c r="B118">
        <v>1131</v>
      </c>
      <c r="C118" t="s">
        <v>4</v>
      </c>
      <c r="D118" t="s">
        <v>5</v>
      </c>
      <c r="E118" s="3">
        <f t="shared" si="13"/>
        <v>1.9933837437108766</v>
      </c>
    </row>
    <row r="119" spans="1:5" x14ac:dyDescent="0.25">
      <c r="A119" t="s">
        <v>8</v>
      </c>
      <c r="B119">
        <v>1211</v>
      </c>
      <c r="C119" t="s">
        <v>4</v>
      </c>
      <c r="D119" t="s">
        <v>5</v>
      </c>
      <c r="E119" s="3">
        <f t="shared" si="13"/>
        <v>2.0982383293197877</v>
      </c>
    </row>
    <row r="120" spans="1:5" x14ac:dyDescent="0.25">
      <c r="A120" t="s">
        <v>8</v>
      </c>
      <c r="B120">
        <v>1212</v>
      </c>
      <c r="C120" t="s">
        <v>4</v>
      </c>
      <c r="D120" t="s">
        <v>5</v>
      </c>
      <c r="E120" s="3">
        <f t="shared" si="13"/>
        <v>2.3798524490320476</v>
      </c>
    </row>
    <row r="121" spans="1:5" x14ac:dyDescent="0.25">
      <c r="A121" t="s">
        <v>8</v>
      </c>
      <c r="B121">
        <v>1213</v>
      </c>
      <c r="C121" t="s">
        <v>4</v>
      </c>
      <c r="D121" t="s">
        <v>5</v>
      </c>
      <c r="E121" s="3">
        <f t="shared" si="13"/>
        <v>1.785740118123631</v>
      </c>
    </row>
    <row r="122" spans="1:5" x14ac:dyDescent="0.25">
      <c r="A122" t="s">
        <v>8</v>
      </c>
      <c r="B122">
        <v>1214</v>
      </c>
      <c r="C122" t="s">
        <v>4</v>
      </c>
      <c r="D122" t="s">
        <v>5</v>
      </c>
      <c r="E122" s="3">
        <f t="shared" si="13"/>
        <v>3.5039580779528867</v>
      </c>
    </row>
    <row r="123" spans="1:5" x14ac:dyDescent="0.25">
      <c r="A123" t="s">
        <v>8</v>
      </c>
      <c r="B123">
        <v>1215</v>
      </c>
      <c r="C123" t="s">
        <v>4</v>
      </c>
      <c r="D123" t="s">
        <v>5</v>
      </c>
      <c r="E123" s="3">
        <f t="shared" si="13"/>
        <v>1.8795761943796117</v>
      </c>
    </row>
    <row r="124" spans="1:5" x14ac:dyDescent="0.25">
      <c r="A124" t="s">
        <v>8</v>
      </c>
      <c r="B124">
        <v>1216</v>
      </c>
      <c r="C124" t="s">
        <v>4</v>
      </c>
      <c r="D124" t="s">
        <v>5</v>
      </c>
      <c r="E124" s="3">
        <f t="shared" si="13"/>
        <v>3.2687789321914864</v>
      </c>
    </row>
    <row r="125" spans="1:5" x14ac:dyDescent="0.25">
      <c r="A125" t="s">
        <v>8</v>
      </c>
      <c r="B125">
        <v>1221</v>
      </c>
      <c r="C125" t="s">
        <v>4</v>
      </c>
      <c r="D125" t="s">
        <v>5</v>
      </c>
      <c r="E125" s="3">
        <f t="shared" si="13"/>
        <v>1.7413894069945137</v>
      </c>
    </row>
    <row r="126" spans="1:5" x14ac:dyDescent="0.25">
      <c r="A126" t="s">
        <v>8</v>
      </c>
      <c r="B126">
        <v>1222</v>
      </c>
      <c r="C126" t="s">
        <v>4</v>
      </c>
      <c r="D126" t="s">
        <v>5</v>
      </c>
      <c r="E126" s="3">
        <f t="shared" si="13"/>
        <v>2.6395307515207609</v>
      </c>
    </row>
    <row r="127" spans="1:5" x14ac:dyDescent="0.25">
      <c r="A127" t="s">
        <v>8</v>
      </c>
      <c r="B127">
        <v>1311</v>
      </c>
      <c r="C127" t="s">
        <v>4</v>
      </c>
      <c r="D127" t="s">
        <v>5</v>
      </c>
      <c r="E127" s="3">
        <f t="shared" si="13"/>
        <v>1.4982526869523416</v>
      </c>
    </row>
    <row r="128" spans="1:5" x14ac:dyDescent="0.25">
      <c r="A128" t="s">
        <v>8</v>
      </c>
      <c r="B128">
        <v>1321</v>
      </c>
      <c r="C128" t="s">
        <v>4</v>
      </c>
      <c r="D128" t="s">
        <v>5</v>
      </c>
      <c r="E128" s="3">
        <f t="shared" si="13"/>
        <v>2.645518772077569</v>
      </c>
    </row>
    <row r="129" spans="1:5" x14ac:dyDescent="0.25">
      <c r="A129" t="s">
        <v>8</v>
      </c>
      <c r="B129">
        <v>1322</v>
      </c>
      <c r="C129" t="s">
        <v>4</v>
      </c>
      <c r="D129" t="s">
        <v>5</v>
      </c>
      <c r="E129" s="3">
        <f t="shared" si="13"/>
        <v>1.257915062899488</v>
      </c>
    </row>
    <row r="130" spans="1:5" x14ac:dyDescent="0.25">
      <c r="A130" t="s">
        <v>8</v>
      </c>
      <c r="B130">
        <v>1331</v>
      </c>
      <c r="C130" t="s">
        <v>4</v>
      </c>
      <c r="D130" t="s">
        <v>5</v>
      </c>
      <c r="E130" s="3">
        <f t="shared" si="13"/>
        <v>2.4474404914524039</v>
      </c>
    </row>
    <row r="131" spans="1:5" x14ac:dyDescent="0.25">
      <c r="A131" t="s">
        <v>8</v>
      </c>
      <c r="B131">
        <v>1411</v>
      </c>
      <c r="C131" t="s">
        <v>4</v>
      </c>
      <c r="D131" t="s">
        <v>5</v>
      </c>
      <c r="E131" s="3">
        <f t="shared" si="13"/>
        <v>3.5259613504651468</v>
      </c>
    </row>
    <row r="132" spans="1:5" x14ac:dyDescent="0.25">
      <c r="A132" t="s">
        <v>8</v>
      </c>
      <c r="B132">
        <v>1412</v>
      </c>
      <c r="C132" t="s">
        <v>4</v>
      </c>
      <c r="D132" t="s">
        <v>5</v>
      </c>
      <c r="E132" s="3">
        <f t="shared" si="13"/>
        <v>5.0881475920102259</v>
      </c>
    </row>
    <row r="133" spans="1:5" x14ac:dyDescent="0.25">
      <c r="A133" t="s">
        <v>8</v>
      </c>
      <c r="B133">
        <v>1421</v>
      </c>
      <c r="C133" t="s">
        <v>4</v>
      </c>
      <c r="D133" t="s">
        <v>5</v>
      </c>
      <c r="E133" s="3">
        <f t="shared" si="13"/>
        <v>2.7431031896282634</v>
      </c>
    </row>
    <row r="134" spans="1:5" x14ac:dyDescent="0.25">
      <c r="A134" t="s">
        <v>8</v>
      </c>
      <c r="B134">
        <v>1511</v>
      </c>
      <c r="C134" t="s">
        <v>4</v>
      </c>
      <c r="D134" t="s">
        <v>5</v>
      </c>
      <c r="E134" s="3">
        <f t="shared" si="13"/>
        <v>1.5240313384730317</v>
      </c>
    </row>
    <row r="135" spans="1:5" x14ac:dyDescent="0.25">
      <c r="A135" t="s">
        <v>8</v>
      </c>
      <c r="B135">
        <v>1512</v>
      </c>
      <c r="C135" t="s">
        <v>4</v>
      </c>
      <c r="D135" t="s">
        <v>5</v>
      </c>
      <c r="E135" s="3">
        <f t="shared" si="13"/>
        <v>4.0561208289606689</v>
      </c>
    </row>
    <row r="136" spans="1:5" x14ac:dyDescent="0.25">
      <c r="A136" t="s">
        <v>8</v>
      </c>
      <c r="B136">
        <v>1521</v>
      </c>
      <c r="C136" t="s">
        <v>4</v>
      </c>
      <c r="D136" t="s">
        <v>5</v>
      </c>
      <c r="E136" s="3">
        <f t="shared" si="13"/>
        <v>2.7732892265398745</v>
      </c>
    </row>
    <row r="137" spans="1:5" x14ac:dyDescent="0.25">
      <c r="A137" t="s">
        <v>8</v>
      </c>
      <c r="B137">
        <v>1522</v>
      </c>
      <c r="C137" t="s">
        <v>4</v>
      </c>
      <c r="D137" t="s">
        <v>5</v>
      </c>
      <c r="E137" s="3">
        <f t="shared" si="13"/>
        <v>4.0414317262078434</v>
      </c>
    </row>
    <row r="138" spans="1:5" x14ac:dyDescent="0.25">
      <c r="A138" t="s">
        <v>8</v>
      </c>
      <c r="B138">
        <v>1611</v>
      </c>
      <c r="C138" t="s">
        <v>4</v>
      </c>
      <c r="D138" t="s">
        <v>5</v>
      </c>
      <c r="E138" s="3">
        <f t="shared" si="13"/>
        <v>2.0130673274212159</v>
      </c>
    </row>
    <row r="139" spans="1:5" x14ac:dyDescent="0.25">
      <c r="A139" t="s">
        <v>8</v>
      </c>
      <c r="B139">
        <v>1612</v>
      </c>
      <c r="C139" t="s">
        <v>4</v>
      </c>
      <c r="D139" t="s">
        <v>5</v>
      </c>
      <c r="E139" s="3">
        <f t="shared" si="13"/>
        <v>1.6660636530457407</v>
      </c>
    </row>
    <row r="140" spans="1:5" x14ac:dyDescent="0.25">
      <c r="A140" t="s">
        <v>8</v>
      </c>
      <c r="B140">
        <v>1613</v>
      </c>
      <c r="C140" t="s">
        <v>4</v>
      </c>
      <c r="D140" t="s">
        <v>5</v>
      </c>
      <c r="E140" s="3">
        <f t="shared" si="13"/>
        <v>1.5525676021035699</v>
      </c>
    </row>
    <row r="141" spans="1:5" x14ac:dyDescent="0.25">
      <c r="A141" t="s">
        <v>8</v>
      </c>
      <c r="B141">
        <v>1614</v>
      </c>
      <c r="C141" t="s">
        <v>4</v>
      </c>
      <c r="D141" t="s">
        <v>5</v>
      </c>
      <c r="E141" s="3">
        <f t="shared" si="13"/>
        <v>2.1491576194299395</v>
      </c>
    </row>
    <row r="142" spans="1:5" x14ac:dyDescent="0.25">
      <c r="A142" t="s">
        <v>8</v>
      </c>
      <c r="B142">
        <v>1615</v>
      </c>
      <c r="C142" t="s">
        <v>4</v>
      </c>
      <c r="D142" t="s">
        <v>5</v>
      </c>
      <c r="E142" s="3">
        <f t="shared" si="13"/>
        <v>1.7337255580809976</v>
      </c>
    </row>
    <row r="143" spans="1:5" x14ac:dyDescent="0.25">
      <c r="A143" t="s">
        <v>8</v>
      </c>
      <c r="B143">
        <v>1616</v>
      </c>
      <c r="C143" t="s">
        <v>4</v>
      </c>
      <c r="D143" t="s">
        <v>5</v>
      </c>
      <c r="E143" s="3">
        <f t="shared" si="13"/>
        <v>2.0903378592282023</v>
      </c>
    </row>
    <row r="144" spans="1:5" x14ac:dyDescent="0.25">
      <c r="A144" t="s">
        <v>8</v>
      </c>
      <c r="B144">
        <v>1617</v>
      </c>
      <c r="C144" t="s">
        <v>4</v>
      </c>
      <c r="D144" t="s">
        <v>5</v>
      </c>
      <c r="E144" s="3">
        <f t="shared" si="13"/>
        <v>3.1392417153290131</v>
      </c>
    </row>
    <row r="145" spans="1:5" x14ac:dyDescent="0.25">
      <c r="A145" t="s">
        <v>8</v>
      </c>
      <c r="B145">
        <v>1621</v>
      </c>
      <c r="C145" t="s">
        <v>4</v>
      </c>
      <c r="D145" t="s">
        <v>5</v>
      </c>
      <c r="E145" s="3">
        <f t="shared" si="13"/>
        <v>3.0003961132628056</v>
      </c>
    </row>
    <row r="146" spans="1:5" x14ac:dyDescent="0.25">
      <c r="A146" t="s">
        <v>8</v>
      </c>
      <c r="B146">
        <v>1622</v>
      </c>
      <c r="C146" t="s">
        <v>4</v>
      </c>
      <c r="D146" t="s">
        <v>5</v>
      </c>
      <c r="E146" s="3">
        <f t="shared" si="13"/>
        <v>1.6185976950619123</v>
      </c>
    </row>
    <row r="147" spans="1:5" x14ac:dyDescent="0.25">
      <c r="A147" t="s">
        <v>8</v>
      </c>
      <c r="B147">
        <v>1623</v>
      </c>
      <c r="C147" t="s">
        <v>4</v>
      </c>
      <c r="D147" t="s">
        <v>5</v>
      </c>
      <c r="E147" s="3">
        <f t="shared" si="13"/>
        <v>1.6334006642622125</v>
      </c>
    </row>
    <row r="148" spans="1:5" x14ac:dyDescent="0.25">
      <c r="A148" t="s">
        <v>8</v>
      </c>
      <c r="B148">
        <v>1711</v>
      </c>
      <c r="C148" t="s">
        <v>4</v>
      </c>
      <c r="D148" t="s">
        <v>5</v>
      </c>
      <c r="E148" s="3">
        <f t="shared" si="13"/>
        <v>2.3797943114782596</v>
      </c>
    </row>
    <row r="149" spans="1:5" x14ac:dyDescent="0.25">
      <c r="A149" t="s">
        <v>8</v>
      </c>
      <c r="B149">
        <v>1712</v>
      </c>
      <c r="C149" t="s">
        <v>4</v>
      </c>
      <c r="D149" t="s">
        <v>5</v>
      </c>
      <c r="E149" s="3">
        <f t="shared" si="13"/>
        <v>4.1928402427808615</v>
      </c>
    </row>
    <row r="150" spans="1:5" x14ac:dyDescent="0.25">
      <c r="A150" t="s">
        <v>8</v>
      </c>
      <c r="B150">
        <v>1713</v>
      </c>
      <c r="C150" t="s">
        <v>4</v>
      </c>
      <c r="D150" t="s">
        <v>5</v>
      </c>
      <c r="E150" s="3">
        <f t="shared" si="13"/>
        <v>3.8390450706411547</v>
      </c>
    </row>
    <row r="151" spans="1:5" x14ac:dyDescent="0.25">
      <c r="A151" t="s">
        <v>8</v>
      </c>
      <c r="B151">
        <v>1721</v>
      </c>
      <c r="C151" t="s">
        <v>4</v>
      </c>
      <c r="D151" t="s">
        <v>5</v>
      </c>
      <c r="E151" s="3">
        <f t="shared" si="13"/>
        <v>6.8662491348744679</v>
      </c>
    </row>
    <row r="152" spans="1:5" x14ac:dyDescent="0.25">
      <c r="A152" t="s">
        <v>8</v>
      </c>
      <c r="B152">
        <v>1722</v>
      </c>
      <c r="C152" t="s">
        <v>4</v>
      </c>
      <c r="D152" t="s">
        <v>5</v>
      </c>
      <c r="E152" s="3">
        <f t="shared" si="13"/>
        <v>4.4654731610222465</v>
      </c>
    </row>
    <row r="153" spans="1:5" x14ac:dyDescent="0.25">
      <c r="A153" t="s">
        <v>8</v>
      </c>
      <c r="B153">
        <v>1723</v>
      </c>
      <c r="C153" t="s">
        <v>4</v>
      </c>
      <c r="D153" t="s">
        <v>5</v>
      </c>
      <c r="E153" s="3">
        <f t="shared" si="13"/>
        <v>3.188355790063317</v>
      </c>
    </row>
    <row r="154" spans="1:5" x14ac:dyDescent="0.25">
      <c r="A154" t="s">
        <v>8</v>
      </c>
      <c r="B154">
        <v>1724</v>
      </c>
      <c r="C154" t="s">
        <v>4</v>
      </c>
      <c r="D154" t="s">
        <v>5</v>
      </c>
      <c r="E154" s="3">
        <f t="shared" si="13"/>
        <v>3.214621095612292</v>
      </c>
    </row>
    <row r="155" spans="1:5" x14ac:dyDescent="0.25">
      <c r="A155" t="s">
        <v>8</v>
      </c>
      <c r="B155">
        <v>1811</v>
      </c>
      <c r="C155" t="s">
        <v>4</v>
      </c>
      <c r="D155" t="s">
        <v>5</v>
      </c>
      <c r="E155" s="3">
        <f t="shared" si="13"/>
        <v>3.390695784449246</v>
      </c>
    </row>
    <row r="156" spans="1:5" x14ac:dyDescent="0.25">
      <c r="A156" t="s">
        <v>8</v>
      </c>
      <c r="B156">
        <v>1812</v>
      </c>
      <c r="C156" t="s">
        <v>4</v>
      </c>
      <c r="D156" t="s">
        <v>5</v>
      </c>
      <c r="E156" s="3">
        <f t="shared" si="13"/>
        <v>2.5337629665594612</v>
      </c>
    </row>
    <row r="157" spans="1:5" x14ac:dyDescent="0.25">
      <c r="A157" t="s">
        <v>8</v>
      </c>
      <c r="B157">
        <v>1813</v>
      </c>
      <c r="C157" t="s">
        <v>4</v>
      </c>
      <c r="D157" t="s">
        <v>5</v>
      </c>
      <c r="E157" s="3">
        <f t="shared" si="13"/>
        <v>3.6666658515332329</v>
      </c>
    </row>
    <row r="158" spans="1:5" x14ac:dyDescent="0.25">
      <c r="A158" t="s">
        <v>8</v>
      </c>
      <c r="B158">
        <v>1821</v>
      </c>
      <c r="C158" t="s">
        <v>4</v>
      </c>
      <c r="D158" t="s">
        <v>5</v>
      </c>
      <c r="E158" s="3">
        <f t="shared" si="13"/>
        <v>3.1188723280568578</v>
      </c>
    </row>
    <row r="159" spans="1:5" x14ac:dyDescent="0.25">
      <c r="A159" t="s">
        <v>8</v>
      </c>
      <c r="B159">
        <v>1911</v>
      </c>
      <c r="C159" t="s">
        <v>4</v>
      </c>
      <c r="D159" t="s">
        <v>5</v>
      </c>
      <c r="E159" s="3">
        <f t="shared" si="13"/>
        <v>1.6279383507968257</v>
      </c>
    </row>
    <row r="160" spans="1:5" x14ac:dyDescent="0.25">
      <c r="A160" t="s">
        <v>8</v>
      </c>
      <c r="B160">
        <v>1912</v>
      </c>
      <c r="C160" t="s">
        <v>4</v>
      </c>
      <c r="D160" t="s">
        <v>5</v>
      </c>
      <c r="E160" s="3">
        <f t="shared" si="13"/>
        <v>3.1602542727926419</v>
      </c>
    </row>
    <row r="161" spans="1:5" x14ac:dyDescent="0.25">
      <c r="A161" t="s">
        <v>8</v>
      </c>
      <c r="B161">
        <v>1921</v>
      </c>
      <c r="C161" t="s">
        <v>4</v>
      </c>
      <c r="D161" t="s">
        <v>5</v>
      </c>
      <c r="E161" s="3">
        <f t="shared" si="13"/>
        <v>2.714984393888785</v>
      </c>
    </row>
    <row r="162" spans="1:5" x14ac:dyDescent="0.25">
      <c r="A162" t="s">
        <v>8</v>
      </c>
      <c r="B162">
        <v>1922</v>
      </c>
      <c r="C162" t="s">
        <v>4</v>
      </c>
      <c r="D162" t="s">
        <v>5</v>
      </c>
      <c r="E162" s="3">
        <f t="shared" si="13"/>
        <v>3.7020657662062169</v>
      </c>
    </row>
    <row r="163" spans="1:5" x14ac:dyDescent="0.25">
      <c r="A163" t="s">
        <v>8</v>
      </c>
      <c r="B163">
        <v>2011</v>
      </c>
      <c r="C163" t="s">
        <v>4</v>
      </c>
      <c r="D163" t="s">
        <v>5</v>
      </c>
      <c r="E163" s="3">
        <f t="shared" si="13"/>
        <v>3.0031839174852508</v>
      </c>
    </row>
    <row r="164" spans="1:5" x14ac:dyDescent="0.25">
      <c r="A164" t="s">
        <v>8</v>
      </c>
      <c r="B164">
        <v>2012</v>
      </c>
      <c r="C164" t="s">
        <v>4</v>
      </c>
      <c r="D164" t="s">
        <v>5</v>
      </c>
      <c r="E164" s="3">
        <f t="shared" si="13"/>
        <v>3.6923674754625848</v>
      </c>
    </row>
    <row r="165" spans="1:5" x14ac:dyDescent="0.25">
      <c r="A165" t="s">
        <v>8</v>
      </c>
      <c r="B165">
        <v>2019</v>
      </c>
      <c r="C165" t="s">
        <v>4</v>
      </c>
      <c r="D165" t="s">
        <v>5</v>
      </c>
      <c r="E165" s="3">
        <f t="shared" si="13"/>
        <v>9.5025108251135268</v>
      </c>
    </row>
    <row r="166" spans="1:5" x14ac:dyDescent="0.25">
      <c r="A166" t="s">
        <v>8</v>
      </c>
      <c r="B166">
        <v>2111</v>
      </c>
      <c r="C166" t="s">
        <v>4</v>
      </c>
      <c r="D166" t="s">
        <v>5</v>
      </c>
      <c r="E166" s="3">
        <f t="shared" si="13"/>
        <v>2.8049039951335626</v>
      </c>
    </row>
    <row r="167" spans="1:5" x14ac:dyDescent="0.25">
      <c r="A167" t="s">
        <v>8</v>
      </c>
      <c r="B167">
        <v>2121</v>
      </c>
      <c r="C167" t="s">
        <v>4</v>
      </c>
      <c r="D167" t="s">
        <v>5</v>
      </c>
      <c r="E167" s="3">
        <f t="shared" si="13"/>
        <v>5.4617046495477162</v>
      </c>
    </row>
    <row r="168" spans="1:5" x14ac:dyDescent="0.25">
      <c r="A168" t="s">
        <v>8</v>
      </c>
      <c r="B168">
        <v>2122</v>
      </c>
      <c r="C168" t="s">
        <v>4</v>
      </c>
      <c r="D168" t="s">
        <v>5</v>
      </c>
      <c r="E168" s="3">
        <f t="shared" si="13"/>
        <v>4.9247319532526115</v>
      </c>
    </row>
    <row r="169" spans="1:5" x14ac:dyDescent="0.25">
      <c r="A169" t="s">
        <v>8</v>
      </c>
      <c r="B169">
        <v>2211</v>
      </c>
      <c r="C169" t="s">
        <v>4</v>
      </c>
      <c r="D169" t="s">
        <v>5</v>
      </c>
      <c r="E169" s="3">
        <f t="shared" si="13"/>
        <v>8.1119603622375447</v>
      </c>
    </row>
    <row r="170" spans="1:5" x14ac:dyDescent="0.25">
      <c r="A170" t="s">
        <v>8</v>
      </c>
      <c r="B170">
        <v>2212</v>
      </c>
      <c r="C170" t="s">
        <v>4</v>
      </c>
      <c r="D170" t="s">
        <v>5</v>
      </c>
      <c r="E170" s="3">
        <f t="shared" si="13"/>
        <v>16.931455197143919</v>
      </c>
    </row>
    <row r="171" spans="1:5" x14ac:dyDescent="0.25">
      <c r="A171" t="s">
        <v>8</v>
      </c>
      <c r="B171">
        <v>2221</v>
      </c>
      <c r="C171" t="s">
        <v>4</v>
      </c>
      <c r="D171" t="s">
        <v>5</v>
      </c>
      <c r="E171" s="3">
        <f t="shared" si="13"/>
        <v>14.95785183835709</v>
      </c>
    </row>
    <row r="172" spans="1:5" x14ac:dyDescent="0.25">
      <c r="A172" t="s">
        <v>8</v>
      </c>
      <c r="B172">
        <v>2311</v>
      </c>
      <c r="C172" t="s">
        <v>4</v>
      </c>
      <c r="D172" t="s">
        <v>5</v>
      </c>
      <c r="E172" s="3">
        <f t="shared" si="13"/>
        <v>2.3116685168996089</v>
      </c>
    </row>
    <row r="173" spans="1:5" x14ac:dyDescent="0.25">
      <c r="A173" t="s">
        <v>8</v>
      </c>
      <c r="B173">
        <v>2312</v>
      </c>
      <c r="C173" t="s">
        <v>4</v>
      </c>
      <c r="D173" t="s">
        <v>5</v>
      </c>
      <c r="E173" s="3">
        <f t="shared" si="13"/>
        <v>2.7234336896606193</v>
      </c>
    </row>
    <row r="174" spans="1:5" x14ac:dyDescent="0.25">
      <c r="A174" t="s">
        <v>8</v>
      </c>
      <c r="B174">
        <v>2319</v>
      </c>
      <c r="C174" t="s">
        <v>4</v>
      </c>
      <c r="D174" t="s">
        <v>5</v>
      </c>
      <c r="E174" s="3">
        <f t="shared" ref="E174:E214" si="14">E68</f>
        <v>1.7594623409880388</v>
      </c>
    </row>
    <row r="175" spans="1:5" x14ac:dyDescent="0.25">
      <c r="A175" t="s">
        <v>8</v>
      </c>
      <c r="B175">
        <v>2331</v>
      </c>
      <c r="C175" t="s">
        <v>4</v>
      </c>
      <c r="D175" t="s">
        <v>5</v>
      </c>
      <c r="E175" s="3">
        <f t="shared" si="14"/>
        <v>2.4430597977540303</v>
      </c>
    </row>
    <row r="176" spans="1:5" x14ac:dyDescent="0.25">
      <c r="A176" t="s">
        <v>8</v>
      </c>
      <c r="B176">
        <v>2411</v>
      </c>
      <c r="C176" t="s">
        <v>4</v>
      </c>
      <c r="D176" t="s">
        <v>5</v>
      </c>
      <c r="E176" s="3">
        <f t="shared" si="14"/>
        <v>12.846322742585606</v>
      </c>
    </row>
    <row r="177" spans="1:5" x14ac:dyDescent="0.25">
      <c r="A177" t="s">
        <v>8</v>
      </c>
      <c r="B177">
        <v>2412</v>
      </c>
      <c r="C177" t="s">
        <v>4</v>
      </c>
      <c r="D177" t="s">
        <v>5</v>
      </c>
      <c r="E177" s="3">
        <f t="shared" si="14"/>
        <v>12.911501146653571</v>
      </c>
    </row>
    <row r="178" spans="1:5" x14ac:dyDescent="0.25">
      <c r="A178" t="s">
        <v>8</v>
      </c>
      <c r="B178">
        <v>2413</v>
      </c>
      <c r="C178" t="s">
        <v>4</v>
      </c>
      <c r="D178" t="s">
        <v>5</v>
      </c>
      <c r="E178" s="3">
        <f t="shared" si="14"/>
        <v>51.219700774315505</v>
      </c>
    </row>
    <row r="179" spans="1:5" x14ac:dyDescent="0.25">
      <c r="A179" t="s">
        <v>8</v>
      </c>
      <c r="B179">
        <v>2414</v>
      </c>
      <c r="C179" t="s">
        <v>4</v>
      </c>
      <c r="D179" t="s">
        <v>5</v>
      </c>
      <c r="E179" s="3">
        <f t="shared" si="14"/>
        <v>21.106393721940481</v>
      </c>
    </row>
    <row r="180" spans="1:5" x14ac:dyDescent="0.25">
      <c r="A180" t="s">
        <v>8</v>
      </c>
      <c r="B180">
        <v>2415</v>
      </c>
      <c r="C180" t="s">
        <v>4</v>
      </c>
      <c r="D180" t="s">
        <v>5</v>
      </c>
      <c r="E180" s="3">
        <f t="shared" si="14"/>
        <v>25.704201990622888</v>
      </c>
    </row>
    <row r="181" spans="1:5" x14ac:dyDescent="0.25">
      <c r="A181" t="s">
        <v>8</v>
      </c>
      <c r="B181">
        <v>2419</v>
      </c>
      <c r="C181" t="s">
        <v>4</v>
      </c>
      <c r="D181" t="s">
        <v>5</v>
      </c>
      <c r="E181" s="3">
        <f t="shared" si="14"/>
        <v>4.3360067441059114</v>
      </c>
    </row>
    <row r="182" spans="1:5" x14ac:dyDescent="0.25">
      <c r="A182" t="s">
        <v>8</v>
      </c>
      <c r="B182">
        <v>2511</v>
      </c>
      <c r="C182" t="s">
        <v>4</v>
      </c>
      <c r="D182" t="s">
        <v>5</v>
      </c>
      <c r="E182" s="3">
        <f t="shared" si="14"/>
        <v>40.455229647174839</v>
      </c>
    </row>
    <row r="183" spans="1:5" x14ac:dyDescent="0.25">
      <c r="A183" t="s">
        <v>8</v>
      </c>
      <c r="B183">
        <v>2512</v>
      </c>
      <c r="C183" t="s">
        <v>4</v>
      </c>
      <c r="D183" t="s">
        <v>5</v>
      </c>
      <c r="E183" s="3">
        <f t="shared" si="14"/>
        <v>41.789824389228059</v>
      </c>
    </row>
    <row r="184" spans="1:5" x14ac:dyDescent="0.25">
      <c r="A184" t="s">
        <v>8</v>
      </c>
      <c r="B184">
        <v>2519</v>
      </c>
      <c r="C184" t="s">
        <v>4</v>
      </c>
      <c r="D184" t="s">
        <v>5</v>
      </c>
      <c r="E184" s="3">
        <f t="shared" si="14"/>
        <v>878.96621421746488</v>
      </c>
    </row>
    <row r="185" spans="1:5" x14ac:dyDescent="0.25">
      <c r="A185" t="s">
        <v>8</v>
      </c>
      <c r="B185">
        <v>2521</v>
      </c>
      <c r="C185" t="s">
        <v>4</v>
      </c>
      <c r="D185" t="s">
        <v>5</v>
      </c>
      <c r="E185" s="3">
        <f t="shared" si="14"/>
        <v>266.28574838730219</v>
      </c>
    </row>
    <row r="186" spans="1:5" x14ac:dyDescent="0.25">
      <c r="A186" t="s">
        <v>8</v>
      </c>
      <c r="B186">
        <v>311</v>
      </c>
      <c r="C186" t="s">
        <v>4</v>
      </c>
      <c r="D186" t="s">
        <v>5</v>
      </c>
      <c r="E186" s="3">
        <f t="shared" si="14"/>
        <v>2.6074053878893801</v>
      </c>
    </row>
    <row r="187" spans="1:5" x14ac:dyDescent="0.25">
      <c r="A187" t="s">
        <v>8</v>
      </c>
      <c r="B187">
        <v>312</v>
      </c>
      <c r="C187" t="s">
        <v>4</v>
      </c>
      <c r="D187" t="s">
        <v>5</v>
      </c>
      <c r="E187" s="3">
        <f t="shared" si="14"/>
        <v>2.3897537637656336</v>
      </c>
    </row>
    <row r="188" spans="1:5" x14ac:dyDescent="0.25">
      <c r="A188" t="s">
        <v>8</v>
      </c>
      <c r="B188">
        <v>321</v>
      </c>
      <c r="C188" t="s">
        <v>4</v>
      </c>
      <c r="D188" t="s">
        <v>5</v>
      </c>
      <c r="E188" s="3">
        <f t="shared" si="14"/>
        <v>2.5525907399050287</v>
      </c>
    </row>
    <row r="189" spans="1:5" x14ac:dyDescent="0.25">
      <c r="A189" t="s">
        <v>8</v>
      </c>
      <c r="B189">
        <v>322</v>
      </c>
      <c r="C189" t="s">
        <v>4</v>
      </c>
      <c r="D189" t="s">
        <v>5</v>
      </c>
      <c r="E189" s="3">
        <f t="shared" si="14"/>
        <v>2.516540160890421</v>
      </c>
    </row>
    <row r="190" spans="1:5" x14ac:dyDescent="0.25">
      <c r="A190" t="s">
        <v>8</v>
      </c>
      <c r="B190">
        <v>411</v>
      </c>
      <c r="C190" t="s">
        <v>4</v>
      </c>
      <c r="D190" t="s">
        <v>5</v>
      </c>
      <c r="E190" s="3">
        <f t="shared" si="14"/>
        <v>1.7957806039285962</v>
      </c>
    </row>
    <row r="191" spans="1:5" x14ac:dyDescent="0.25">
      <c r="A191" t="s">
        <v>8</v>
      </c>
      <c r="B191">
        <v>421</v>
      </c>
      <c r="C191" t="s">
        <v>4</v>
      </c>
      <c r="D191" t="s">
        <v>5</v>
      </c>
      <c r="E191" s="3">
        <f t="shared" si="14"/>
        <v>2.2595071102902966</v>
      </c>
    </row>
    <row r="192" spans="1:5" x14ac:dyDescent="0.25">
      <c r="A192" t="s">
        <v>8</v>
      </c>
      <c r="B192">
        <v>422</v>
      </c>
      <c r="C192" t="s">
        <v>4</v>
      </c>
      <c r="D192" t="s">
        <v>5</v>
      </c>
      <c r="E192" s="3">
        <f t="shared" si="14"/>
        <v>2.2531919666390841</v>
      </c>
    </row>
    <row r="193" spans="1:5" x14ac:dyDescent="0.25">
      <c r="A193" t="s">
        <v>8</v>
      </c>
      <c r="B193">
        <v>431</v>
      </c>
      <c r="C193" t="s">
        <v>4</v>
      </c>
      <c r="D193" t="s">
        <v>5</v>
      </c>
      <c r="E193" s="3">
        <f t="shared" si="14"/>
        <v>2.0299146181198466</v>
      </c>
    </row>
    <row r="194" spans="1:5" x14ac:dyDescent="0.25">
      <c r="A194" t="s">
        <v>8</v>
      </c>
      <c r="B194">
        <v>511</v>
      </c>
      <c r="C194" t="s">
        <v>4</v>
      </c>
      <c r="D194" t="s">
        <v>5</v>
      </c>
      <c r="E194" s="3">
        <f t="shared" si="14"/>
        <v>1.2920889861409131</v>
      </c>
    </row>
    <row r="195" spans="1:5" x14ac:dyDescent="0.25">
      <c r="A195" t="s">
        <v>8</v>
      </c>
      <c r="B195">
        <v>512</v>
      </c>
      <c r="C195" t="s">
        <v>4</v>
      </c>
      <c r="D195" t="s">
        <v>5</v>
      </c>
      <c r="E195" s="3">
        <f t="shared" si="14"/>
        <v>1.4049587464922437</v>
      </c>
    </row>
    <row r="196" spans="1:5" x14ac:dyDescent="0.25">
      <c r="A196" t="s">
        <v>8</v>
      </c>
      <c r="B196">
        <v>513</v>
      </c>
      <c r="C196" t="s">
        <v>4</v>
      </c>
      <c r="D196" t="s">
        <v>5</v>
      </c>
      <c r="E196" s="3">
        <f t="shared" si="14"/>
        <v>1.6249685281933282</v>
      </c>
    </row>
    <row r="197" spans="1:5" x14ac:dyDescent="0.25">
      <c r="A197" t="s">
        <v>8</v>
      </c>
      <c r="B197">
        <v>514</v>
      </c>
      <c r="C197" t="s">
        <v>4</v>
      </c>
      <c r="D197" t="s">
        <v>5</v>
      </c>
      <c r="E197" s="3">
        <f t="shared" si="14"/>
        <v>1.3285576168823945</v>
      </c>
    </row>
    <row r="198" spans="1:5" x14ac:dyDescent="0.25">
      <c r="A198" t="s">
        <v>8</v>
      </c>
      <c r="B198">
        <v>515</v>
      </c>
      <c r="C198" t="s">
        <v>4</v>
      </c>
      <c r="D198" t="s">
        <v>5</v>
      </c>
      <c r="E198" s="3">
        <f t="shared" si="14"/>
        <v>1.6772186846578756</v>
      </c>
    </row>
    <row r="199" spans="1:5" x14ac:dyDescent="0.25">
      <c r="A199" t="s">
        <v>8</v>
      </c>
      <c r="B199">
        <v>521</v>
      </c>
      <c r="C199" t="s">
        <v>4</v>
      </c>
      <c r="D199" t="s">
        <v>5</v>
      </c>
      <c r="E199" s="3">
        <f t="shared" si="14"/>
        <v>2.6893322480213113</v>
      </c>
    </row>
    <row r="200" spans="1:5" x14ac:dyDescent="0.25">
      <c r="A200" t="s">
        <v>8</v>
      </c>
      <c r="B200">
        <v>611</v>
      </c>
      <c r="C200" t="s">
        <v>4</v>
      </c>
      <c r="D200" t="s">
        <v>5</v>
      </c>
      <c r="E200" s="3">
        <f t="shared" si="14"/>
        <v>1.3283284106206288</v>
      </c>
    </row>
    <row r="201" spans="1:5" x14ac:dyDescent="0.25">
      <c r="A201" t="s">
        <v>8</v>
      </c>
      <c r="B201">
        <v>612</v>
      </c>
      <c r="C201" t="s">
        <v>4</v>
      </c>
      <c r="D201" t="s">
        <v>5</v>
      </c>
      <c r="E201" s="3">
        <f t="shared" si="14"/>
        <v>1.3342428291016424</v>
      </c>
    </row>
    <row r="202" spans="1:5" x14ac:dyDescent="0.25">
      <c r="A202" t="s">
        <v>8</v>
      </c>
      <c r="B202">
        <v>621</v>
      </c>
      <c r="C202" t="s">
        <v>4</v>
      </c>
      <c r="D202" t="s">
        <v>5</v>
      </c>
      <c r="E202" s="3">
        <f t="shared" si="14"/>
        <v>1.5397045714829158</v>
      </c>
    </row>
    <row r="203" spans="1:5" x14ac:dyDescent="0.25">
      <c r="A203" t="s">
        <v>8</v>
      </c>
      <c r="B203">
        <v>622</v>
      </c>
      <c r="C203" t="s">
        <v>4</v>
      </c>
      <c r="D203" t="s">
        <v>5</v>
      </c>
      <c r="E203" s="3">
        <f t="shared" si="14"/>
        <v>1.2815448105396587</v>
      </c>
    </row>
    <row r="204" spans="1:5" x14ac:dyDescent="0.25">
      <c r="A204" t="s">
        <v>8</v>
      </c>
      <c r="B204">
        <v>711</v>
      </c>
      <c r="C204" t="s">
        <v>4</v>
      </c>
      <c r="D204" t="s">
        <v>5</v>
      </c>
      <c r="E204" s="3">
        <f t="shared" si="14"/>
        <v>1.3882409299923901</v>
      </c>
    </row>
    <row r="205" spans="1:5" x14ac:dyDescent="0.25">
      <c r="A205" t="s">
        <v>8</v>
      </c>
      <c r="B205">
        <v>731</v>
      </c>
      <c r="C205" t="s">
        <v>4</v>
      </c>
      <c r="D205" t="s">
        <v>5</v>
      </c>
      <c r="E205" s="3">
        <f t="shared" si="14"/>
        <v>1.4914110548765827</v>
      </c>
    </row>
    <row r="206" spans="1:5" x14ac:dyDescent="0.25">
      <c r="A206" t="s">
        <v>8</v>
      </c>
      <c r="B206">
        <v>811</v>
      </c>
      <c r="C206" t="s">
        <v>4</v>
      </c>
      <c r="D206" t="s">
        <v>5</v>
      </c>
      <c r="E206" s="3">
        <f t="shared" si="14"/>
        <v>1.0052515610038153</v>
      </c>
    </row>
    <row r="207" spans="1:5" x14ac:dyDescent="0.25">
      <c r="A207" t="s">
        <v>8</v>
      </c>
      <c r="B207">
        <v>812</v>
      </c>
      <c r="C207" t="s">
        <v>4</v>
      </c>
      <c r="D207" t="s">
        <v>5</v>
      </c>
      <c r="E207" s="3">
        <f t="shared" si="14"/>
        <v>1.3059112296894684</v>
      </c>
    </row>
    <row r="208" spans="1:5" x14ac:dyDescent="0.25">
      <c r="A208" t="s">
        <v>8</v>
      </c>
      <c r="B208">
        <v>813</v>
      </c>
      <c r="C208" t="s">
        <v>4</v>
      </c>
      <c r="D208" t="s">
        <v>5</v>
      </c>
      <c r="E208" s="3">
        <f t="shared" si="14"/>
        <v>1.7901208314112864</v>
      </c>
    </row>
    <row r="209" spans="1:5" x14ac:dyDescent="0.25">
      <c r="A209" t="s">
        <v>8</v>
      </c>
      <c r="B209">
        <v>814</v>
      </c>
      <c r="C209" t="s">
        <v>4</v>
      </c>
      <c r="D209" t="s">
        <v>5</v>
      </c>
      <c r="E209" s="3">
        <f t="shared" si="14"/>
        <v>1.8431516632189833</v>
      </c>
    </row>
    <row r="210" spans="1:5" x14ac:dyDescent="0.25">
      <c r="A210" t="s">
        <v>8</v>
      </c>
      <c r="B210">
        <v>821</v>
      </c>
      <c r="C210" t="s">
        <v>4</v>
      </c>
      <c r="D210" t="s">
        <v>5</v>
      </c>
      <c r="E210" s="3">
        <f t="shared" si="14"/>
        <v>1.4209868273149215</v>
      </c>
    </row>
    <row r="211" spans="1:5" x14ac:dyDescent="0.25">
      <c r="A211" t="s">
        <v>8</v>
      </c>
      <c r="B211">
        <v>831</v>
      </c>
      <c r="C211" t="s">
        <v>4</v>
      </c>
      <c r="D211" t="s">
        <v>5</v>
      </c>
      <c r="E211" s="3">
        <f t="shared" si="14"/>
        <v>1.8838791503460062</v>
      </c>
    </row>
    <row r="212" spans="1:5" x14ac:dyDescent="0.25">
      <c r="A212" t="s">
        <v>8</v>
      </c>
      <c r="B212">
        <v>911</v>
      </c>
      <c r="C212" t="s">
        <v>4</v>
      </c>
      <c r="D212" t="s">
        <v>5</v>
      </c>
      <c r="E212" s="3">
        <f t="shared" si="14"/>
        <v>1.7509378662378685</v>
      </c>
    </row>
    <row r="213" spans="1:5" x14ac:dyDescent="0.25">
      <c r="A213" t="s">
        <v>8</v>
      </c>
      <c r="B213">
        <v>912</v>
      </c>
      <c r="C213" t="s">
        <v>4</v>
      </c>
      <c r="D213" t="s">
        <v>5</v>
      </c>
      <c r="E213" s="3">
        <f t="shared" si="14"/>
        <v>2.7557449119837001</v>
      </c>
    </row>
    <row r="214" spans="1:5" x14ac:dyDescent="0.25">
      <c r="A214" t="s">
        <v>8</v>
      </c>
      <c r="B214">
        <v>913</v>
      </c>
      <c r="C214" t="s">
        <v>4</v>
      </c>
      <c r="D214" t="s">
        <v>5</v>
      </c>
      <c r="E214" s="3">
        <f t="shared" si="14"/>
        <v>2.45920723367515</v>
      </c>
    </row>
    <row r="215" spans="1:5" x14ac:dyDescent="0.25">
      <c r="A215" t="s">
        <v>9</v>
      </c>
      <c r="B215">
        <v>1011</v>
      </c>
      <c r="C215" t="s">
        <v>4</v>
      </c>
      <c r="D215" t="s">
        <v>5</v>
      </c>
      <c r="E215" s="3">
        <f>E3*GeoDistributor!$D$2</f>
        <v>16.081167250830553</v>
      </c>
    </row>
    <row r="216" spans="1:5" x14ac:dyDescent="0.25">
      <c r="A216" t="s">
        <v>9</v>
      </c>
      <c r="B216">
        <v>111</v>
      </c>
      <c r="C216" t="s">
        <v>4</v>
      </c>
      <c r="D216" t="s">
        <v>5</v>
      </c>
      <c r="E216" s="3">
        <f>E4*GeoDistributor!$D$2</f>
        <v>40.698517682069195</v>
      </c>
    </row>
    <row r="217" spans="1:5" x14ac:dyDescent="0.25">
      <c r="A217" t="s">
        <v>9</v>
      </c>
      <c r="B217">
        <v>1111</v>
      </c>
      <c r="C217" t="s">
        <v>4</v>
      </c>
      <c r="D217" t="s">
        <v>5</v>
      </c>
      <c r="E217" s="3">
        <f>E5*GeoDistributor!$D$2</f>
        <v>15.272826289777168</v>
      </c>
    </row>
    <row r="218" spans="1:5" x14ac:dyDescent="0.25">
      <c r="A218" t="s">
        <v>9</v>
      </c>
      <c r="B218">
        <v>1112</v>
      </c>
      <c r="C218" t="s">
        <v>4</v>
      </c>
      <c r="D218" t="s">
        <v>5</v>
      </c>
      <c r="E218" s="3">
        <f>E6*GeoDistributor!$D$2</f>
        <v>13.902318565114877</v>
      </c>
    </row>
    <row r="219" spans="1:5" x14ac:dyDescent="0.25">
      <c r="A219" t="s">
        <v>9</v>
      </c>
      <c r="B219">
        <v>112</v>
      </c>
      <c r="C219" t="s">
        <v>4</v>
      </c>
      <c r="D219" t="s">
        <v>5</v>
      </c>
      <c r="E219" s="3">
        <f>E7*GeoDistributor!$D$2</f>
        <v>35.733057358983253</v>
      </c>
    </row>
    <row r="220" spans="1:5" x14ac:dyDescent="0.25">
      <c r="A220" t="s">
        <v>9</v>
      </c>
      <c r="B220">
        <v>1121</v>
      </c>
      <c r="C220" t="s">
        <v>4</v>
      </c>
      <c r="D220" t="s">
        <v>5</v>
      </c>
      <c r="E220" s="3">
        <f>E8*GeoDistributor!$D$2</f>
        <v>14.282433471428584</v>
      </c>
    </row>
    <row r="221" spans="1:5" x14ac:dyDescent="0.25">
      <c r="A221" t="s">
        <v>9</v>
      </c>
      <c r="B221">
        <v>1122</v>
      </c>
      <c r="C221" t="s">
        <v>4</v>
      </c>
      <c r="D221" t="s">
        <v>5</v>
      </c>
      <c r="E221" s="3">
        <f>E9*GeoDistributor!$D$2</f>
        <v>15.416883930062919</v>
      </c>
    </row>
    <row r="222" spans="1:5" x14ac:dyDescent="0.25">
      <c r="A222" t="s">
        <v>9</v>
      </c>
      <c r="B222">
        <v>1123</v>
      </c>
      <c r="C222" t="s">
        <v>4</v>
      </c>
      <c r="D222" t="s">
        <v>5</v>
      </c>
      <c r="E222" s="3">
        <f>E10*GeoDistributor!$D$2</f>
        <v>36.232970923317012</v>
      </c>
    </row>
    <row r="223" spans="1:5" x14ac:dyDescent="0.25">
      <c r="A223" t="s">
        <v>9</v>
      </c>
      <c r="B223">
        <v>1124</v>
      </c>
      <c r="C223" t="s">
        <v>4</v>
      </c>
      <c r="D223" t="s">
        <v>5</v>
      </c>
      <c r="E223" s="3">
        <f>E11*GeoDistributor!$D$2</f>
        <v>18.357651277398578</v>
      </c>
    </row>
    <row r="224" spans="1:5" x14ac:dyDescent="0.25">
      <c r="A224" t="s">
        <v>9</v>
      </c>
      <c r="B224">
        <v>1131</v>
      </c>
      <c r="C224" t="s">
        <v>4</v>
      </c>
      <c r="D224" t="s">
        <v>5</v>
      </c>
      <c r="E224" s="3">
        <f>E12*GeoDistributor!$D$2</f>
        <v>19.933837437108764</v>
      </c>
    </row>
    <row r="225" spans="1:5" x14ac:dyDescent="0.25">
      <c r="A225" t="s">
        <v>9</v>
      </c>
      <c r="B225">
        <v>1211</v>
      </c>
      <c r="C225" t="s">
        <v>4</v>
      </c>
      <c r="D225" t="s">
        <v>5</v>
      </c>
      <c r="E225" s="3">
        <f>E13*GeoDistributor!$D$2</f>
        <v>20.982383293197877</v>
      </c>
    </row>
    <row r="226" spans="1:5" x14ac:dyDescent="0.25">
      <c r="A226" t="s">
        <v>9</v>
      </c>
      <c r="B226">
        <v>1212</v>
      </c>
      <c r="C226" t="s">
        <v>4</v>
      </c>
      <c r="D226" t="s">
        <v>5</v>
      </c>
      <c r="E226" s="3">
        <f>E14*GeoDistributor!$D$2</f>
        <v>23.798524490320474</v>
      </c>
    </row>
    <row r="227" spans="1:5" x14ac:dyDescent="0.25">
      <c r="A227" t="s">
        <v>9</v>
      </c>
      <c r="B227">
        <v>1213</v>
      </c>
      <c r="C227" t="s">
        <v>4</v>
      </c>
      <c r="D227" t="s">
        <v>5</v>
      </c>
      <c r="E227" s="3">
        <f>E15*GeoDistributor!$D$2</f>
        <v>17.857401181236309</v>
      </c>
    </row>
    <row r="228" spans="1:5" x14ac:dyDescent="0.25">
      <c r="A228" t="s">
        <v>9</v>
      </c>
      <c r="B228">
        <v>1214</v>
      </c>
      <c r="C228" t="s">
        <v>4</v>
      </c>
      <c r="D228" t="s">
        <v>5</v>
      </c>
      <c r="E228" s="3">
        <f>E16*GeoDistributor!$D$2</f>
        <v>35.039580779528869</v>
      </c>
    </row>
    <row r="229" spans="1:5" x14ac:dyDescent="0.25">
      <c r="A229" t="s">
        <v>9</v>
      </c>
      <c r="B229">
        <v>1215</v>
      </c>
      <c r="C229" t="s">
        <v>4</v>
      </c>
      <c r="D229" t="s">
        <v>5</v>
      </c>
      <c r="E229" s="3">
        <f>E17*GeoDistributor!$D$2</f>
        <v>18.795761943796116</v>
      </c>
    </row>
    <row r="230" spans="1:5" x14ac:dyDescent="0.25">
      <c r="A230" t="s">
        <v>9</v>
      </c>
      <c r="B230">
        <v>1216</v>
      </c>
      <c r="C230" t="s">
        <v>4</v>
      </c>
      <c r="D230" t="s">
        <v>5</v>
      </c>
      <c r="E230" s="3">
        <f>E18*GeoDistributor!$D$2</f>
        <v>32.687789321914863</v>
      </c>
    </row>
    <row r="231" spans="1:5" x14ac:dyDescent="0.25">
      <c r="A231" t="s">
        <v>9</v>
      </c>
      <c r="B231">
        <v>1221</v>
      </c>
      <c r="C231" t="s">
        <v>4</v>
      </c>
      <c r="D231" t="s">
        <v>5</v>
      </c>
      <c r="E231" s="3">
        <f>E19*GeoDistributor!$D$2</f>
        <v>17.413894069945137</v>
      </c>
    </row>
    <row r="232" spans="1:5" x14ac:dyDescent="0.25">
      <c r="A232" t="s">
        <v>9</v>
      </c>
      <c r="B232">
        <v>1222</v>
      </c>
      <c r="C232" t="s">
        <v>4</v>
      </c>
      <c r="D232" t="s">
        <v>5</v>
      </c>
      <c r="E232" s="3">
        <f>E20*GeoDistributor!$D$2</f>
        <v>26.395307515207609</v>
      </c>
    </row>
    <row r="233" spans="1:5" x14ac:dyDescent="0.25">
      <c r="A233" t="s">
        <v>9</v>
      </c>
      <c r="B233">
        <v>1311</v>
      </c>
      <c r="C233" t="s">
        <v>4</v>
      </c>
      <c r="D233" t="s">
        <v>5</v>
      </c>
      <c r="E233" s="3">
        <f>E21*GeoDistributor!$D$2</f>
        <v>14.982526869523415</v>
      </c>
    </row>
    <row r="234" spans="1:5" x14ac:dyDescent="0.25">
      <c r="A234" t="s">
        <v>9</v>
      </c>
      <c r="B234">
        <v>1321</v>
      </c>
      <c r="C234" t="s">
        <v>4</v>
      </c>
      <c r="D234" t="s">
        <v>5</v>
      </c>
      <c r="E234" s="3">
        <f>E22*GeoDistributor!$D$2</f>
        <v>26.45518772077569</v>
      </c>
    </row>
    <row r="235" spans="1:5" x14ac:dyDescent="0.25">
      <c r="A235" t="s">
        <v>9</v>
      </c>
      <c r="B235">
        <v>1322</v>
      </c>
      <c r="C235" t="s">
        <v>4</v>
      </c>
      <c r="D235" t="s">
        <v>5</v>
      </c>
      <c r="E235" s="3">
        <f>E23*GeoDistributor!$D$2</f>
        <v>12.57915062899488</v>
      </c>
    </row>
    <row r="236" spans="1:5" x14ac:dyDescent="0.25">
      <c r="A236" t="s">
        <v>9</v>
      </c>
      <c r="B236">
        <v>1331</v>
      </c>
      <c r="C236" t="s">
        <v>4</v>
      </c>
      <c r="D236" t="s">
        <v>5</v>
      </c>
      <c r="E236" s="3">
        <f>E24*GeoDistributor!$D$2</f>
        <v>24.47440491452404</v>
      </c>
    </row>
    <row r="237" spans="1:5" x14ac:dyDescent="0.25">
      <c r="A237" t="s">
        <v>9</v>
      </c>
      <c r="B237">
        <v>1411</v>
      </c>
      <c r="C237" t="s">
        <v>4</v>
      </c>
      <c r="D237" t="s">
        <v>5</v>
      </c>
      <c r="E237" s="3">
        <f>E25*GeoDistributor!$D$2</f>
        <v>35.259613504651469</v>
      </c>
    </row>
    <row r="238" spans="1:5" x14ac:dyDescent="0.25">
      <c r="A238" t="s">
        <v>9</v>
      </c>
      <c r="B238">
        <v>1412</v>
      </c>
      <c r="C238" t="s">
        <v>4</v>
      </c>
      <c r="D238" t="s">
        <v>5</v>
      </c>
      <c r="E238" s="3">
        <f>E26*GeoDistributor!$D$2</f>
        <v>50.881475920102261</v>
      </c>
    </row>
    <row r="239" spans="1:5" x14ac:dyDescent="0.25">
      <c r="A239" t="s">
        <v>9</v>
      </c>
      <c r="B239">
        <v>1421</v>
      </c>
      <c r="C239" t="s">
        <v>4</v>
      </c>
      <c r="D239" t="s">
        <v>5</v>
      </c>
      <c r="E239" s="3">
        <f>E27*GeoDistributor!$D$2</f>
        <v>27.431031896282633</v>
      </c>
    </row>
    <row r="240" spans="1:5" x14ac:dyDescent="0.25">
      <c r="A240" t="s">
        <v>9</v>
      </c>
      <c r="B240">
        <v>1511</v>
      </c>
      <c r="C240" t="s">
        <v>4</v>
      </c>
      <c r="D240" t="s">
        <v>5</v>
      </c>
      <c r="E240" s="3">
        <f>E28*GeoDistributor!$D$2</f>
        <v>15.240313384730317</v>
      </c>
    </row>
    <row r="241" spans="1:5" x14ac:dyDescent="0.25">
      <c r="A241" t="s">
        <v>9</v>
      </c>
      <c r="B241">
        <v>1512</v>
      </c>
      <c r="C241" t="s">
        <v>4</v>
      </c>
      <c r="D241" t="s">
        <v>5</v>
      </c>
      <c r="E241" s="3">
        <f>E29*GeoDistributor!$D$2</f>
        <v>40.561208289606689</v>
      </c>
    </row>
    <row r="242" spans="1:5" x14ac:dyDescent="0.25">
      <c r="A242" t="s">
        <v>9</v>
      </c>
      <c r="B242">
        <v>1521</v>
      </c>
      <c r="C242" t="s">
        <v>4</v>
      </c>
      <c r="D242" t="s">
        <v>5</v>
      </c>
      <c r="E242" s="3">
        <f>E30*GeoDistributor!$D$2</f>
        <v>27.732892265398746</v>
      </c>
    </row>
    <row r="243" spans="1:5" x14ac:dyDescent="0.25">
      <c r="A243" t="s">
        <v>9</v>
      </c>
      <c r="B243">
        <v>1522</v>
      </c>
      <c r="C243" t="s">
        <v>4</v>
      </c>
      <c r="D243" t="s">
        <v>5</v>
      </c>
      <c r="E243" s="3">
        <f>E31*GeoDistributor!$D$2</f>
        <v>40.414317262078434</v>
      </c>
    </row>
    <row r="244" spans="1:5" x14ac:dyDescent="0.25">
      <c r="A244" t="s">
        <v>9</v>
      </c>
      <c r="B244">
        <v>1611</v>
      </c>
      <c r="C244" t="s">
        <v>4</v>
      </c>
      <c r="D244" t="s">
        <v>5</v>
      </c>
      <c r="E244" s="3">
        <f>E32*GeoDistributor!$D$2</f>
        <v>20.130673274212157</v>
      </c>
    </row>
    <row r="245" spans="1:5" x14ac:dyDescent="0.25">
      <c r="A245" t="s">
        <v>9</v>
      </c>
      <c r="B245">
        <v>1612</v>
      </c>
      <c r="C245" t="s">
        <v>4</v>
      </c>
      <c r="D245" t="s">
        <v>5</v>
      </c>
      <c r="E245" s="3">
        <f>E33*GeoDistributor!$D$2</f>
        <v>16.660636530457406</v>
      </c>
    </row>
    <row r="246" spans="1:5" x14ac:dyDescent="0.25">
      <c r="A246" t="s">
        <v>9</v>
      </c>
      <c r="B246">
        <v>1613</v>
      </c>
      <c r="C246" t="s">
        <v>4</v>
      </c>
      <c r="D246" t="s">
        <v>5</v>
      </c>
      <c r="E246" s="3">
        <f>E34*GeoDistributor!$D$2</f>
        <v>15.5256760210357</v>
      </c>
    </row>
    <row r="247" spans="1:5" x14ac:dyDescent="0.25">
      <c r="A247" t="s">
        <v>9</v>
      </c>
      <c r="B247">
        <v>1614</v>
      </c>
      <c r="C247" t="s">
        <v>4</v>
      </c>
      <c r="D247" t="s">
        <v>5</v>
      </c>
      <c r="E247" s="3">
        <f>E35*GeoDistributor!$D$2</f>
        <v>21.491576194299395</v>
      </c>
    </row>
    <row r="248" spans="1:5" x14ac:dyDescent="0.25">
      <c r="A248" t="s">
        <v>9</v>
      </c>
      <c r="B248">
        <v>1615</v>
      </c>
      <c r="C248" t="s">
        <v>4</v>
      </c>
      <c r="D248" t="s">
        <v>5</v>
      </c>
      <c r="E248" s="3">
        <f>E36*GeoDistributor!$D$2</f>
        <v>17.337255580809977</v>
      </c>
    </row>
    <row r="249" spans="1:5" x14ac:dyDescent="0.25">
      <c r="A249" t="s">
        <v>9</v>
      </c>
      <c r="B249">
        <v>1616</v>
      </c>
      <c r="C249" t="s">
        <v>4</v>
      </c>
      <c r="D249" t="s">
        <v>5</v>
      </c>
      <c r="E249" s="3">
        <f>E37*GeoDistributor!$D$2</f>
        <v>20.903378592282024</v>
      </c>
    </row>
    <row r="250" spans="1:5" x14ac:dyDescent="0.25">
      <c r="A250" t="s">
        <v>9</v>
      </c>
      <c r="B250">
        <v>1617</v>
      </c>
      <c r="C250" t="s">
        <v>4</v>
      </c>
      <c r="D250" t="s">
        <v>5</v>
      </c>
      <c r="E250" s="3">
        <f>E38*GeoDistributor!$D$2</f>
        <v>31.392417153290133</v>
      </c>
    </row>
    <row r="251" spans="1:5" x14ac:dyDescent="0.25">
      <c r="A251" t="s">
        <v>9</v>
      </c>
      <c r="B251">
        <v>1621</v>
      </c>
      <c r="C251" t="s">
        <v>4</v>
      </c>
      <c r="D251" t="s">
        <v>5</v>
      </c>
      <c r="E251" s="3">
        <f>E39*GeoDistributor!$D$2</f>
        <v>30.003961132628056</v>
      </c>
    </row>
    <row r="252" spans="1:5" x14ac:dyDescent="0.25">
      <c r="A252" t="s">
        <v>9</v>
      </c>
      <c r="B252">
        <v>1622</v>
      </c>
      <c r="C252" t="s">
        <v>4</v>
      </c>
      <c r="D252" t="s">
        <v>5</v>
      </c>
      <c r="E252" s="3">
        <f>E40*GeoDistributor!$D$2</f>
        <v>16.185976950619121</v>
      </c>
    </row>
    <row r="253" spans="1:5" x14ac:dyDescent="0.25">
      <c r="A253" t="s">
        <v>9</v>
      </c>
      <c r="B253">
        <v>1623</v>
      </c>
      <c r="C253" t="s">
        <v>4</v>
      </c>
      <c r="D253" t="s">
        <v>5</v>
      </c>
      <c r="E253" s="3">
        <f>E41*GeoDistributor!$D$2</f>
        <v>16.334006642622125</v>
      </c>
    </row>
    <row r="254" spans="1:5" x14ac:dyDescent="0.25">
      <c r="A254" t="s">
        <v>9</v>
      </c>
      <c r="B254">
        <v>1711</v>
      </c>
      <c r="C254" t="s">
        <v>4</v>
      </c>
      <c r="D254" t="s">
        <v>5</v>
      </c>
      <c r="E254" s="3">
        <f>E42*GeoDistributor!$D$2</f>
        <v>23.797943114782598</v>
      </c>
    </row>
    <row r="255" spans="1:5" x14ac:dyDescent="0.25">
      <c r="A255" t="s">
        <v>9</v>
      </c>
      <c r="B255">
        <v>1712</v>
      </c>
      <c r="C255" t="s">
        <v>4</v>
      </c>
      <c r="D255" t="s">
        <v>5</v>
      </c>
      <c r="E255" s="3">
        <f>E43*GeoDistributor!$D$2</f>
        <v>41.928402427808614</v>
      </c>
    </row>
    <row r="256" spans="1:5" x14ac:dyDescent="0.25">
      <c r="A256" t="s">
        <v>9</v>
      </c>
      <c r="B256">
        <v>1713</v>
      </c>
      <c r="C256" t="s">
        <v>4</v>
      </c>
      <c r="D256" t="s">
        <v>5</v>
      </c>
      <c r="E256" s="3">
        <f>E44*GeoDistributor!$D$2</f>
        <v>38.390450706411549</v>
      </c>
    </row>
    <row r="257" spans="1:5" x14ac:dyDescent="0.25">
      <c r="A257" t="s">
        <v>9</v>
      </c>
      <c r="B257">
        <v>1721</v>
      </c>
      <c r="C257" t="s">
        <v>4</v>
      </c>
      <c r="D257" t="s">
        <v>5</v>
      </c>
      <c r="E257" s="3">
        <f>E45*GeoDistributor!$D$2</f>
        <v>68.66249134874468</v>
      </c>
    </row>
    <row r="258" spans="1:5" x14ac:dyDescent="0.25">
      <c r="A258" t="s">
        <v>9</v>
      </c>
      <c r="B258">
        <v>1722</v>
      </c>
      <c r="C258" t="s">
        <v>4</v>
      </c>
      <c r="D258" t="s">
        <v>5</v>
      </c>
      <c r="E258" s="3">
        <f>E46*GeoDistributor!$D$2</f>
        <v>44.654731610222463</v>
      </c>
    </row>
    <row r="259" spans="1:5" x14ac:dyDescent="0.25">
      <c r="A259" t="s">
        <v>9</v>
      </c>
      <c r="B259">
        <v>1723</v>
      </c>
      <c r="C259" t="s">
        <v>4</v>
      </c>
      <c r="D259" t="s">
        <v>5</v>
      </c>
      <c r="E259" s="3">
        <f>E47*GeoDistributor!$D$2</f>
        <v>31.883557900633171</v>
      </c>
    </row>
    <row r="260" spans="1:5" x14ac:dyDescent="0.25">
      <c r="A260" t="s">
        <v>9</v>
      </c>
      <c r="B260">
        <v>1724</v>
      </c>
      <c r="C260" t="s">
        <v>4</v>
      </c>
      <c r="D260" t="s">
        <v>5</v>
      </c>
      <c r="E260" s="3">
        <f>E48*GeoDistributor!$D$2</f>
        <v>32.146210956122921</v>
      </c>
    </row>
    <row r="261" spans="1:5" x14ac:dyDescent="0.25">
      <c r="A261" t="s">
        <v>9</v>
      </c>
      <c r="B261">
        <v>1811</v>
      </c>
      <c r="C261" t="s">
        <v>4</v>
      </c>
      <c r="D261" t="s">
        <v>5</v>
      </c>
      <c r="E261" s="3">
        <f>E49*GeoDistributor!$D$2</f>
        <v>33.90695784449246</v>
      </c>
    </row>
    <row r="262" spans="1:5" x14ac:dyDescent="0.25">
      <c r="A262" t="s">
        <v>9</v>
      </c>
      <c r="B262">
        <v>1812</v>
      </c>
      <c r="C262" t="s">
        <v>4</v>
      </c>
      <c r="D262" t="s">
        <v>5</v>
      </c>
      <c r="E262" s="3">
        <f>E50*GeoDistributor!$D$2</f>
        <v>25.337629665594612</v>
      </c>
    </row>
    <row r="263" spans="1:5" x14ac:dyDescent="0.25">
      <c r="A263" t="s">
        <v>9</v>
      </c>
      <c r="B263">
        <v>1813</v>
      </c>
      <c r="C263" t="s">
        <v>4</v>
      </c>
      <c r="D263" t="s">
        <v>5</v>
      </c>
      <c r="E263" s="3">
        <f>E51*GeoDistributor!$D$2</f>
        <v>36.66665851533233</v>
      </c>
    </row>
    <row r="264" spans="1:5" x14ac:dyDescent="0.25">
      <c r="A264" t="s">
        <v>9</v>
      </c>
      <c r="B264">
        <v>1821</v>
      </c>
      <c r="C264" t="s">
        <v>4</v>
      </c>
      <c r="D264" t="s">
        <v>5</v>
      </c>
      <c r="E264" s="3">
        <f>E52*GeoDistributor!$D$2</f>
        <v>31.188723280568578</v>
      </c>
    </row>
    <row r="265" spans="1:5" x14ac:dyDescent="0.25">
      <c r="A265" t="s">
        <v>9</v>
      </c>
      <c r="B265">
        <v>1911</v>
      </c>
      <c r="C265" t="s">
        <v>4</v>
      </c>
      <c r="D265" t="s">
        <v>5</v>
      </c>
      <c r="E265" s="3">
        <f>E53*GeoDistributor!$D$2</f>
        <v>16.279383507968255</v>
      </c>
    </row>
    <row r="266" spans="1:5" x14ac:dyDescent="0.25">
      <c r="A266" t="s">
        <v>9</v>
      </c>
      <c r="B266">
        <v>1912</v>
      </c>
      <c r="C266" t="s">
        <v>4</v>
      </c>
      <c r="D266" t="s">
        <v>5</v>
      </c>
      <c r="E266" s="3">
        <f>E54*GeoDistributor!$D$2</f>
        <v>31.602542727926419</v>
      </c>
    </row>
    <row r="267" spans="1:5" x14ac:dyDescent="0.25">
      <c r="A267" t="s">
        <v>9</v>
      </c>
      <c r="B267">
        <v>1921</v>
      </c>
      <c r="C267" t="s">
        <v>4</v>
      </c>
      <c r="D267" t="s">
        <v>5</v>
      </c>
      <c r="E267" s="3">
        <f>E55*GeoDistributor!$D$2</f>
        <v>27.149843938887848</v>
      </c>
    </row>
    <row r="268" spans="1:5" x14ac:dyDescent="0.25">
      <c r="A268" t="s">
        <v>9</v>
      </c>
      <c r="B268">
        <v>1922</v>
      </c>
      <c r="C268" t="s">
        <v>4</v>
      </c>
      <c r="D268" t="s">
        <v>5</v>
      </c>
      <c r="E268" s="3">
        <f>E56*GeoDistributor!$D$2</f>
        <v>37.02065766206217</v>
      </c>
    </row>
    <row r="269" spans="1:5" x14ac:dyDescent="0.25">
      <c r="A269" t="s">
        <v>9</v>
      </c>
      <c r="B269">
        <v>2011</v>
      </c>
      <c r="C269" t="s">
        <v>4</v>
      </c>
      <c r="D269" t="s">
        <v>5</v>
      </c>
      <c r="E269" s="3">
        <f>E57*GeoDistributor!$D$2</f>
        <v>30.031839174852507</v>
      </c>
    </row>
    <row r="270" spans="1:5" x14ac:dyDescent="0.25">
      <c r="A270" t="s">
        <v>9</v>
      </c>
      <c r="B270">
        <v>2012</v>
      </c>
      <c r="C270" t="s">
        <v>4</v>
      </c>
      <c r="D270" t="s">
        <v>5</v>
      </c>
      <c r="E270" s="3">
        <f>E58*GeoDistributor!$D$2</f>
        <v>36.92367475462585</v>
      </c>
    </row>
    <row r="271" spans="1:5" x14ac:dyDescent="0.25">
      <c r="A271" t="s">
        <v>9</v>
      </c>
      <c r="B271">
        <v>2019</v>
      </c>
      <c r="C271" t="s">
        <v>4</v>
      </c>
      <c r="D271" t="s">
        <v>5</v>
      </c>
      <c r="E271" s="3">
        <f>E59*GeoDistributor!$D$2</f>
        <v>95.025108251135265</v>
      </c>
    </row>
    <row r="272" spans="1:5" x14ac:dyDescent="0.25">
      <c r="A272" t="s">
        <v>9</v>
      </c>
      <c r="B272">
        <v>2111</v>
      </c>
      <c r="C272" t="s">
        <v>4</v>
      </c>
      <c r="D272" t="s">
        <v>5</v>
      </c>
      <c r="E272" s="3">
        <f>E60*GeoDistributor!$D$2</f>
        <v>28.049039951335626</v>
      </c>
    </row>
    <row r="273" spans="1:5" x14ac:dyDescent="0.25">
      <c r="A273" t="s">
        <v>9</v>
      </c>
      <c r="B273">
        <v>2121</v>
      </c>
      <c r="C273" t="s">
        <v>4</v>
      </c>
      <c r="D273" t="s">
        <v>5</v>
      </c>
      <c r="E273" s="3">
        <f>E61*GeoDistributor!$D$2</f>
        <v>54.617046495477162</v>
      </c>
    </row>
    <row r="274" spans="1:5" x14ac:dyDescent="0.25">
      <c r="A274" t="s">
        <v>9</v>
      </c>
      <c r="B274">
        <v>2122</v>
      </c>
      <c r="C274" t="s">
        <v>4</v>
      </c>
      <c r="D274" t="s">
        <v>5</v>
      </c>
      <c r="E274" s="3">
        <f>E62*GeoDistributor!$D$2</f>
        <v>49.247319532526113</v>
      </c>
    </row>
    <row r="275" spans="1:5" x14ac:dyDescent="0.25">
      <c r="A275" t="s">
        <v>9</v>
      </c>
      <c r="B275">
        <v>2211</v>
      </c>
      <c r="C275" t="s">
        <v>4</v>
      </c>
      <c r="D275" t="s">
        <v>5</v>
      </c>
      <c r="E275" s="3">
        <f>E63*GeoDistributor!$D$2</f>
        <v>81.11960362237545</v>
      </c>
    </row>
    <row r="276" spans="1:5" x14ac:dyDescent="0.25">
      <c r="A276" t="s">
        <v>9</v>
      </c>
      <c r="B276">
        <v>2212</v>
      </c>
      <c r="C276" t="s">
        <v>4</v>
      </c>
      <c r="D276" t="s">
        <v>5</v>
      </c>
      <c r="E276" s="3">
        <f>E64*GeoDistributor!$D$2</f>
        <v>169.31455197143919</v>
      </c>
    </row>
    <row r="277" spans="1:5" x14ac:dyDescent="0.25">
      <c r="A277" t="s">
        <v>9</v>
      </c>
      <c r="B277">
        <v>2221</v>
      </c>
      <c r="C277" t="s">
        <v>4</v>
      </c>
      <c r="D277" t="s">
        <v>5</v>
      </c>
      <c r="E277" s="3">
        <f>E65*GeoDistributor!$D$2</f>
        <v>149.57851838357089</v>
      </c>
    </row>
    <row r="278" spans="1:5" x14ac:dyDescent="0.25">
      <c r="A278" t="s">
        <v>9</v>
      </c>
      <c r="B278">
        <v>2311</v>
      </c>
      <c r="C278" t="s">
        <v>4</v>
      </c>
      <c r="D278" t="s">
        <v>5</v>
      </c>
      <c r="E278" s="3">
        <f>E66*GeoDistributor!$D$2</f>
        <v>23.116685168996089</v>
      </c>
    </row>
    <row r="279" spans="1:5" x14ac:dyDescent="0.25">
      <c r="A279" t="s">
        <v>9</v>
      </c>
      <c r="B279">
        <v>2312</v>
      </c>
      <c r="C279" t="s">
        <v>4</v>
      </c>
      <c r="D279" t="s">
        <v>5</v>
      </c>
      <c r="E279" s="3">
        <f>E67*GeoDistributor!$D$2</f>
        <v>27.234336896606195</v>
      </c>
    </row>
    <row r="280" spans="1:5" x14ac:dyDescent="0.25">
      <c r="A280" t="s">
        <v>9</v>
      </c>
      <c r="B280">
        <v>2319</v>
      </c>
      <c r="C280" t="s">
        <v>4</v>
      </c>
      <c r="D280" t="s">
        <v>5</v>
      </c>
      <c r="E280" s="3">
        <f>E68*GeoDistributor!$D$2</f>
        <v>17.594623409880388</v>
      </c>
    </row>
    <row r="281" spans="1:5" x14ac:dyDescent="0.25">
      <c r="A281" t="s">
        <v>9</v>
      </c>
      <c r="B281">
        <v>2331</v>
      </c>
      <c r="C281" t="s">
        <v>4</v>
      </c>
      <c r="D281" t="s">
        <v>5</v>
      </c>
      <c r="E281" s="3">
        <f>E69*GeoDistributor!$D$2</f>
        <v>24.430597977540302</v>
      </c>
    </row>
    <row r="282" spans="1:5" x14ac:dyDescent="0.25">
      <c r="A282" t="s">
        <v>9</v>
      </c>
      <c r="B282">
        <v>2411</v>
      </c>
      <c r="C282" t="s">
        <v>4</v>
      </c>
      <c r="D282" t="s">
        <v>5</v>
      </c>
      <c r="E282" s="3">
        <f>E70*GeoDistributor!$D$2</f>
        <v>128.46322742585608</v>
      </c>
    </row>
    <row r="283" spans="1:5" x14ac:dyDescent="0.25">
      <c r="A283" t="s">
        <v>9</v>
      </c>
      <c r="B283">
        <v>2412</v>
      </c>
      <c r="C283" t="s">
        <v>4</v>
      </c>
      <c r="D283" t="s">
        <v>5</v>
      </c>
      <c r="E283" s="3">
        <f>E71*GeoDistributor!$D$2</f>
        <v>129.11501146653569</v>
      </c>
    </row>
    <row r="284" spans="1:5" x14ac:dyDescent="0.25">
      <c r="A284" t="s">
        <v>9</v>
      </c>
      <c r="B284">
        <v>2413</v>
      </c>
      <c r="C284" t="s">
        <v>4</v>
      </c>
      <c r="D284" t="s">
        <v>5</v>
      </c>
      <c r="E284" s="3">
        <f>E72*GeoDistributor!$D$2</f>
        <v>512.19700774315504</v>
      </c>
    </row>
    <row r="285" spans="1:5" x14ac:dyDescent="0.25">
      <c r="A285" t="s">
        <v>9</v>
      </c>
      <c r="B285">
        <v>2414</v>
      </c>
      <c r="C285" t="s">
        <v>4</v>
      </c>
      <c r="D285" t="s">
        <v>5</v>
      </c>
      <c r="E285" s="3">
        <f>E73*GeoDistributor!$D$2</f>
        <v>211.06393721940481</v>
      </c>
    </row>
    <row r="286" spans="1:5" x14ac:dyDescent="0.25">
      <c r="A286" t="s">
        <v>9</v>
      </c>
      <c r="B286">
        <v>2415</v>
      </c>
      <c r="C286" t="s">
        <v>4</v>
      </c>
      <c r="D286" t="s">
        <v>5</v>
      </c>
      <c r="E286" s="3">
        <f>E74*GeoDistributor!$D$2</f>
        <v>257.04201990622886</v>
      </c>
    </row>
    <row r="287" spans="1:5" x14ac:dyDescent="0.25">
      <c r="A287" t="s">
        <v>9</v>
      </c>
      <c r="B287">
        <v>2419</v>
      </c>
      <c r="C287" t="s">
        <v>4</v>
      </c>
      <c r="D287" t="s">
        <v>5</v>
      </c>
      <c r="E287" s="3">
        <f>E75*GeoDistributor!$D$2</f>
        <v>43.360067441059115</v>
      </c>
    </row>
    <row r="288" spans="1:5" x14ac:dyDescent="0.25">
      <c r="A288" t="s">
        <v>9</v>
      </c>
      <c r="B288">
        <v>2511</v>
      </c>
      <c r="C288" t="s">
        <v>4</v>
      </c>
      <c r="D288" t="s">
        <v>5</v>
      </c>
      <c r="E288" s="3">
        <f>E76*GeoDistributor!$D$2</f>
        <v>404.55229647174838</v>
      </c>
    </row>
    <row r="289" spans="1:5" x14ac:dyDescent="0.25">
      <c r="A289" t="s">
        <v>9</v>
      </c>
      <c r="B289">
        <v>2512</v>
      </c>
      <c r="C289" t="s">
        <v>4</v>
      </c>
      <c r="D289" t="s">
        <v>5</v>
      </c>
      <c r="E289" s="3">
        <f>E77*GeoDistributor!$D$2</f>
        <v>417.89824389228056</v>
      </c>
    </row>
    <row r="290" spans="1:5" x14ac:dyDescent="0.25">
      <c r="A290" t="s">
        <v>9</v>
      </c>
      <c r="B290">
        <v>2519</v>
      </c>
      <c r="C290" t="s">
        <v>4</v>
      </c>
      <c r="D290" t="s">
        <v>5</v>
      </c>
      <c r="E290" s="3">
        <f>E78*GeoDistributor!$D$2</f>
        <v>8789.6621421746495</v>
      </c>
    </row>
    <row r="291" spans="1:5" x14ac:dyDescent="0.25">
      <c r="A291" t="s">
        <v>9</v>
      </c>
      <c r="B291">
        <v>2521</v>
      </c>
      <c r="C291" t="s">
        <v>4</v>
      </c>
      <c r="D291" t="s">
        <v>5</v>
      </c>
      <c r="E291" s="3">
        <f>E79*GeoDistributor!$D$2</f>
        <v>2662.8574838730219</v>
      </c>
    </row>
    <row r="292" spans="1:5" x14ac:dyDescent="0.25">
      <c r="A292" t="s">
        <v>9</v>
      </c>
      <c r="B292">
        <v>311</v>
      </c>
      <c r="C292" t="s">
        <v>4</v>
      </c>
      <c r="D292" t="s">
        <v>5</v>
      </c>
      <c r="E292" s="3">
        <f>E80*GeoDistributor!$D$2</f>
        <v>26.0740538788938</v>
      </c>
    </row>
    <row r="293" spans="1:5" x14ac:dyDescent="0.25">
      <c r="A293" t="s">
        <v>9</v>
      </c>
      <c r="B293">
        <v>312</v>
      </c>
      <c r="C293" t="s">
        <v>4</v>
      </c>
      <c r="D293" t="s">
        <v>5</v>
      </c>
      <c r="E293" s="3">
        <f>E81*GeoDistributor!$D$2</f>
        <v>23.897537637656335</v>
      </c>
    </row>
    <row r="294" spans="1:5" x14ac:dyDescent="0.25">
      <c r="A294" t="s">
        <v>9</v>
      </c>
      <c r="B294">
        <v>321</v>
      </c>
      <c r="C294" t="s">
        <v>4</v>
      </c>
      <c r="D294" t="s">
        <v>5</v>
      </c>
      <c r="E294" s="3">
        <f>E82*GeoDistributor!$D$2</f>
        <v>25.525907399050286</v>
      </c>
    </row>
    <row r="295" spans="1:5" x14ac:dyDescent="0.25">
      <c r="A295" t="s">
        <v>9</v>
      </c>
      <c r="B295">
        <v>322</v>
      </c>
      <c r="C295" t="s">
        <v>4</v>
      </c>
      <c r="D295" t="s">
        <v>5</v>
      </c>
      <c r="E295" s="3">
        <f>E83*GeoDistributor!$D$2</f>
        <v>25.165401608904212</v>
      </c>
    </row>
    <row r="296" spans="1:5" x14ac:dyDescent="0.25">
      <c r="A296" t="s">
        <v>9</v>
      </c>
      <c r="B296">
        <v>411</v>
      </c>
      <c r="C296" t="s">
        <v>4</v>
      </c>
      <c r="D296" t="s">
        <v>5</v>
      </c>
      <c r="E296" s="3">
        <f>E84*GeoDistributor!$D$2</f>
        <v>17.957806039285963</v>
      </c>
    </row>
    <row r="297" spans="1:5" x14ac:dyDescent="0.25">
      <c r="A297" t="s">
        <v>9</v>
      </c>
      <c r="B297">
        <v>421</v>
      </c>
      <c r="C297" t="s">
        <v>4</v>
      </c>
      <c r="D297" t="s">
        <v>5</v>
      </c>
      <c r="E297" s="3">
        <f>E85*GeoDistributor!$D$2</f>
        <v>22.595071102902967</v>
      </c>
    </row>
    <row r="298" spans="1:5" x14ac:dyDescent="0.25">
      <c r="A298" t="s">
        <v>9</v>
      </c>
      <c r="B298">
        <v>422</v>
      </c>
      <c r="C298" t="s">
        <v>4</v>
      </c>
      <c r="D298" t="s">
        <v>5</v>
      </c>
      <c r="E298" s="3">
        <f>E86*GeoDistributor!$D$2</f>
        <v>22.531919666390841</v>
      </c>
    </row>
    <row r="299" spans="1:5" x14ac:dyDescent="0.25">
      <c r="A299" t="s">
        <v>9</v>
      </c>
      <c r="B299">
        <v>431</v>
      </c>
      <c r="C299" t="s">
        <v>4</v>
      </c>
      <c r="D299" t="s">
        <v>5</v>
      </c>
      <c r="E299" s="3">
        <f>E87*GeoDistributor!$D$2</f>
        <v>20.299146181198466</v>
      </c>
    </row>
    <row r="300" spans="1:5" x14ac:dyDescent="0.25">
      <c r="A300" t="s">
        <v>9</v>
      </c>
      <c r="B300">
        <v>511</v>
      </c>
      <c r="C300" t="s">
        <v>4</v>
      </c>
      <c r="D300" t="s">
        <v>5</v>
      </c>
      <c r="E300" s="3">
        <f>E88*GeoDistributor!$D$2</f>
        <v>12.92088986140913</v>
      </c>
    </row>
    <row r="301" spans="1:5" x14ac:dyDescent="0.25">
      <c r="A301" t="s">
        <v>9</v>
      </c>
      <c r="B301">
        <v>512</v>
      </c>
      <c r="C301" t="s">
        <v>4</v>
      </c>
      <c r="D301" t="s">
        <v>5</v>
      </c>
      <c r="E301" s="3">
        <f>E89*GeoDistributor!$D$2</f>
        <v>14.049587464922437</v>
      </c>
    </row>
    <row r="302" spans="1:5" x14ac:dyDescent="0.25">
      <c r="A302" t="s">
        <v>9</v>
      </c>
      <c r="B302">
        <v>513</v>
      </c>
      <c r="C302" t="s">
        <v>4</v>
      </c>
      <c r="D302" t="s">
        <v>5</v>
      </c>
      <c r="E302" s="3">
        <f>E90*GeoDistributor!$D$2</f>
        <v>16.249685281933282</v>
      </c>
    </row>
    <row r="303" spans="1:5" x14ac:dyDescent="0.25">
      <c r="A303" t="s">
        <v>9</v>
      </c>
      <c r="B303">
        <v>514</v>
      </c>
      <c r="C303" t="s">
        <v>4</v>
      </c>
      <c r="D303" t="s">
        <v>5</v>
      </c>
      <c r="E303" s="3">
        <f>E91*GeoDistributor!$D$2</f>
        <v>13.285576168823944</v>
      </c>
    </row>
    <row r="304" spans="1:5" x14ac:dyDescent="0.25">
      <c r="A304" t="s">
        <v>9</v>
      </c>
      <c r="B304">
        <v>515</v>
      </c>
      <c r="C304" t="s">
        <v>4</v>
      </c>
      <c r="D304" t="s">
        <v>5</v>
      </c>
      <c r="E304" s="3">
        <f>E92*GeoDistributor!$D$2</f>
        <v>16.772186846578755</v>
      </c>
    </row>
    <row r="305" spans="1:5" x14ac:dyDescent="0.25">
      <c r="A305" t="s">
        <v>9</v>
      </c>
      <c r="B305">
        <v>521</v>
      </c>
      <c r="C305" t="s">
        <v>4</v>
      </c>
      <c r="D305" t="s">
        <v>5</v>
      </c>
      <c r="E305" s="3">
        <f>E93*GeoDistributor!$D$2</f>
        <v>26.893322480213115</v>
      </c>
    </row>
    <row r="306" spans="1:5" x14ac:dyDescent="0.25">
      <c r="A306" t="s">
        <v>9</v>
      </c>
      <c r="B306">
        <v>611</v>
      </c>
      <c r="C306" t="s">
        <v>4</v>
      </c>
      <c r="D306" t="s">
        <v>5</v>
      </c>
      <c r="E306" s="3">
        <f>E94*GeoDistributor!$D$2</f>
        <v>13.283284106206288</v>
      </c>
    </row>
    <row r="307" spans="1:5" x14ac:dyDescent="0.25">
      <c r="A307" t="s">
        <v>9</v>
      </c>
      <c r="B307">
        <v>612</v>
      </c>
      <c r="C307" t="s">
        <v>4</v>
      </c>
      <c r="D307" t="s">
        <v>5</v>
      </c>
      <c r="E307" s="3">
        <f>E95*GeoDistributor!$D$2</f>
        <v>13.342428291016423</v>
      </c>
    </row>
    <row r="308" spans="1:5" x14ac:dyDescent="0.25">
      <c r="A308" t="s">
        <v>9</v>
      </c>
      <c r="B308">
        <v>621</v>
      </c>
      <c r="C308" t="s">
        <v>4</v>
      </c>
      <c r="D308" t="s">
        <v>5</v>
      </c>
      <c r="E308" s="3">
        <f>E96*GeoDistributor!$D$2</f>
        <v>15.397045714829158</v>
      </c>
    </row>
    <row r="309" spans="1:5" x14ac:dyDescent="0.25">
      <c r="A309" t="s">
        <v>9</v>
      </c>
      <c r="B309">
        <v>622</v>
      </c>
      <c r="C309" t="s">
        <v>4</v>
      </c>
      <c r="D309" t="s">
        <v>5</v>
      </c>
      <c r="E309" s="3">
        <f>E97*GeoDistributor!$D$2</f>
        <v>12.815448105396587</v>
      </c>
    </row>
    <row r="310" spans="1:5" x14ac:dyDescent="0.25">
      <c r="A310" t="s">
        <v>9</v>
      </c>
      <c r="B310">
        <v>711</v>
      </c>
      <c r="C310" t="s">
        <v>4</v>
      </c>
      <c r="D310" t="s">
        <v>5</v>
      </c>
      <c r="E310" s="3">
        <f>E98*GeoDistributor!$D$2</f>
        <v>13.882409299923902</v>
      </c>
    </row>
    <row r="311" spans="1:5" x14ac:dyDescent="0.25">
      <c r="A311" t="s">
        <v>9</v>
      </c>
      <c r="B311">
        <v>731</v>
      </c>
      <c r="C311" t="s">
        <v>4</v>
      </c>
      <c r="D311" t="s">
        <v>5</v>
      </c>
      <c r="E311" s="3">
        <f>E99*GeoDistributor!$D$2</f>
        <v>14.914110548765827</v>
      </c>
    </row>
    <row r="312" spans="1:5" x14ac:dyDescent="0.25">
      <c r="A312" t="s">
        <v>9</v>
      </c>
      <c r="B312">
        <v>811</v>
      </c>
      <c r="C312" t="s">
        <v>4</v>
      </c>
      <c r="D312" t="s">
        <v>5</v>
      </c>
      <c r="E312" s="3">
        <f>E100*GeoDistributor!$D$2</f>
        <v>10.052515610038153</v>
      </c>
    </row>
    <row r="313" spans="1:5" x14ac:dyDescent="0.25">
      <c r="A313" t="s">
        <v>9</v>
      </c>
      <c r="B313">
        <v>812</v>
      </c>
      <c r="C313" t="s">
        <v>4</v>
      </c>
      <c r="D313" t="s">
        <v>5</v>
      </c>
      <c r="E313" s="3">
        <f>E101*GeoDistributor!$D$2</f>
        <v>13.059112296894684</v>
      </c>
    </row>
    <row r="314" spans="1:5" x14ac:dyDescent="0.25">
      <c r="A314" t="s">
        <v>9</v>
      </c>
      <c r="B314">
        <v>813</v>
      </c>
      <c r="C314" t="s">
        <v>4</v>
      </c>
      <c r="D314" t="s">
        <v>5</v>
      </c>
      <c r="E314" s="3">
        <f>E102*GeoDistributor!$D$2</f>
        <v>17.901208314112864</v>
      </c>
    </row>
    <row r="315" spans="1:5" x14ac:dyDescent="0.25">
      <c r="A315" t="s">
        <v>9</v>
      </c>
      <c r="B315">
        <v>814</v>
      </c>
      <c r="C315" t="s">
        <v>4</v>
      </c>
      <c r="D315" t="s">
        <v>5</v>
      </c>
      <c r="E315" s="3">
        <f>E103*GeoDistributor!$D$2</f>
        <v>18.431516632189833</v>
      </c>
    </row>
    <row r="316" spans="1:5" x14ac:dyDescent="0.25">
      <c r="A316" t="s">
        <v>9</v>
      </c>
      <c r="B316">
        <v>821</v>
      </c>
      <c r="C316" t="s">
        <v>4</v>
      </c>
      <c r="D316" t="s">
        <v>5</v>
      </c>
      <c r="E316" s="3">
        <f>E104*GeoDistributor!$D$2</f>
        <v>14.209868273149215</v>
      </c>
    </row>
    <row r="317" spans="1:5" x14ac:dyDescent="0.25">
      <c r="A317" t="s">
        <v>9</v>
      </c>
      <c r="B317">
        <v>831</v>
      </c>
      <c r="C317" t="s">
        <v>4</v>
      </c>
      <c r="D317" t="s">
        <v>5</v>
      </c>
      <c r="E317" s="3">
        <f>E105*GeoDistributor!$D$2</f>
        <v>18.838791503460062</v>
      </c>
    </row>
    <row r="318" spans="1:5" x14ac:dyDescent="0.25">
      <c r="A318" t="s">
        <v>9</v>
      </c>
      <c r="B318">
        <v>911</v>
      </c>
      <c r="C318" t="s">
        <v>4</v>
      </c>
      <c r="D318" t="s">
        <v>5</v>
      </c>
      <c r="E318" s="3">
        <f>E106*GeoDistributor!$D$2</f>
        <v>17.509378662378687</v>
      </c>
    </row>
    <row r="319" spans="1:5" x14ac:dyDescent="0.25">
      <c r="A319" t="s">
        <v>9</v>
      </c>
      <c r="B319">
        <v>912</v>
      </c>
      <c r="C319" t="s">
        <v>4</v>
      </c>
      <c r="D319" t="s">
        <v>5</v>
      </c>
      <c r="E319" s="3">
        <f>E107*GeoDistributor!$D$2</f>
        <v>27.557449119837003</v>
      </c>
    </row>
    <row r="320" spans="1:5" x14ac:dyDescent="0.25">
      <c r="A320" t="s">
        <v>9</v>
      </c>
      <c r="B320">
        <v>913</v>
      </c>
      <c r="C320" t="s">
        <v>4</v>
      </c>
      <c r="D320" t="s">
        <v>5</v>
      </c>
      <c r="E320" s="3">
        <f>E108*GeoDistributor!$D$2</f>
        <v>24.5920723367515</v>
      </c>
    </row>
    <row r="321" spans="1:5" x14ac:dyDescent="0.25">
      <c r="A321" t="s">
        <v>10</v>
      </c>
      <c r="B321">
        <v>1011</v>
      </c>
      <c r="C321" t="s">
        <v>4</v>
      </c>
      <c r="D321" t="s">
        <v>5</v>
      </c>
      <c r="E321" s="3">
        <v>1</v>
      </c>
    </row>
    <row r="322" spans="1:5" x14ac:dyDescent="0.25">
      <c r="A322" t="s">
        <v>10</v>
      </c>
      <c r="B322">
        <v>111</v>
      </c>
      <c r="C322" t="s">
        <v>4</v>
      </c>
      <c r="D322" t="s">
        <v>5</v>
      </c>
      <c r="E322" s="3">
        <v>1</v>
      </c>
    </row>
    <row r="323" spans="1:5" x14ac:dyDescent="0.25">
      <c r="A323" t="s">
        <v>10</v>
      </c>
      <c r="B323">
        <v>1111</v>
      </c>
      <c r="C323" t="s">
        <v>4</v>
      </c>
      <c r="D323" t="s">
        <v>5</v>
      </c>
      <c r="E323" s="3">
        <v>1</v>
      </c>
    </row>
    <row r="324" spans="1:5" x14ac:dyDescent="0.25">
      <c r="A324" t="s">
        <v>10</v>
      </c>
      <c r="B324">
        <v>1112</v>
      </c>
      <c r="C324" t="s">
        <v>4</v>
      </c>
      <c r="D324" t="s">
        <v>5</v>
      </c>
      <c r="E324" s="3">
        <v>1</v>
      </c>
    </row>
    <row r="325" spans="1:5" x14ac:dyDescent="0.25">
      <c r="A325" t="s">
        <v>10</v>
      </c>
      <c r="B325">
        <v>112</v>
      </c>
      <c r="C325" t="s">
        <v>4</v>
      </c>
      <c r="D325" t="s">
        <v>5</v>
      </c>
      <c r="E325" s="3">
        <v>1</v>
      </c>
    </row>
    <row r="326" spans="1:5" x14ac:dyDescent="0.25">
      <c r="A326" t="s">
        <v>10</v>
      </c>
      <c r="B326">
        <v>1121</v>
      </c>
      <c r="C326" t="s">
        <v>4</v>
      </c>
      <c r="D326" t="s">
        <v>5</v>
      </c>
      <c r="E326" s="3">
        <v>1</v>
      </c>
    </row>
    <row r="327" spans="1:5" x14ac:dyDescent="0.25">
      <c r="A327" t="s">
        <v>10</v>
      </c>
      <c r="B327">
        <v>1122</v>
      </c>
      <c r="C327" t="s">
        <v>4</v>
      </c>
      <c r="D327" t="s">
        <v>5</v>
      </c>
      <c r="E327" s="3">
        <v>1</v>
      </c>
    </row>
    <row r="328" spans="1:5" x14ac:dyDescent="0.25">
      <c r="A328" t="s">
        <v>10</v>
      </c>
      <c r="B328">
        <v>1123</v>
      </c>
      <c r="C328" t="s">
        <v>4</v>
      </c>
      <c r="D328" t="s">
        <v>5</v>
      </c>
      <c r="E328" s="3">
        <v>1</v>
      </c>
    </row>
    <row r="329" spans="1:5" x14ac:dyDescent="0.25">
      <c r="A329" t="s">
        <v>10</v>
      </c>
      <c r="B329">
        <v>1124</v>
      </c>
      <c r="C329" t="s">
        <v>4</v>
      </c>
      <c r="D329" t="s">
        <v>5</v>
      </c>
      <c r="E329" s="3">
        <v>1</v>
      </c>
    </row>
    <row r="330" spans="1:5" x14ac:dyDescent="0.25">
      <c r="A330" t="s">
        <v>10</v>
      </c>
      <c r="B330">
        <v>1131</v>
      </c>
      <c r="C330" t="s">
        <v>4</v>
      </c>
      <c r="D330" t="s">
        <v>5</v>
      </c>
      <c r="E330" s="3">
        <v>1</v>
      </c>
    </row>
    <row r="331" spans="1:5" x14ac:dyDescent="0.25">
      <c r="A331" t="s">
        <v>10</v>
      </c>
      <c r="B331">
        <v>1211</v>
      </c>
      <c r="C331" t="s">
        <v>4</v>
      </c>
      <c r="D331" t="s">
        <v>5</v>
      </c>
      <c r="E331" s="3">
        <v>1</v>
      </c>
    </row>
    <row r="332" spans="1:5" x14ac:dyDescent="0.25">
      <c r="A332" t="s">
        <v>10</v>
      </c>
      <c r="B332">
        <v>1212</v>
      </c>
      <c r="C332" t="s">
        <v>4</v>
      </c>
      <c r="D332" t="s">
        <v>5</v>
      </c>
      <c r="E332" s="3">
        <v>1</v>
      </c>
    </row>
    <row r="333" spans="1:5" x14ac:dyDescent="0.25">
      <c r="A333" t="s">
        <v>10</v>
      </c>
      <c r="B333">
        <v>1213</v>
      </c>
      <c r="C333" t="s">
        <v>4</v>
      </c>
      <c r="D333" t="s">
        <v>5</v>
      </c>
      <c r="E333" s="3">
        <v>1</v>
      </c>
    </row>
    <row r="334" spans="1:5" x14ac:dyDescent="0.25">
      <c r="A334" t="s">
        <v>10</v>
      </c>
      <c r="B334">
        <v>1214</v>
      </c>
      <c r="C334" t="s">
        <v>4</v>
      </c>
      <c r="D334" t="s">
        <v>5</v>
      </c>
      <c r="E334" s="3">
        <v>1</v>
      </c>
    </row>
    <row r="335" spans="1:5" x14ac:dyDescent="0.25">
      <c r="A335" t="s">
        <v>10</v>
      </c>
      <c r="B335">
        <v>1215</v>
      </c>
      <c r="C335" t="s">
        <v>4</v>
      </c>
      <c r="D335" t="s">
        <v>5</v>
      </c>
      <c r="E335" s="3">
        <v>1</v>
      </c>
    </row>
    <row r="336" spans="1:5" x14ac:dyDescent="0.25">
      <c r="A336" t="s">
        <v>10</v>
      </c>
      <c r="B336">
        <v>1216</v>
      </c>
      <c r="C336" t="s">
        <v>4</v>
      </c>
      <c r="D336" t="s">
        <v>5</v>
      </c>
      <c r="E336" s="3">
        <v>1</v>
      </c>
    </row>
    <row r="337" spans="1:5" x14ac:dyDescent="0.25">
      <c r="A337" t="s">
        <v>10</v>
      </c>
      <c r="B337">
        <v>1221</v>
      </c>
      <c r="C337" t="s">
        <v>4</v>
      </c>
      <c r="D337" t="s">
        <v>5</v>
      </c>
      <c r="E337" s="3">
        <v>1</v>
      </c>
    </row>
    <row r="338" spans="1:5" x14ac:dyDescent="0.25">
      <c r="A338" t="s">
        <v>10</v>
      </c>
      <c r="B338">
        <v>1222</v>
      </c>
      <c r="C338" t="s">
        <v>4</v>
      </c>
      <c r="D338" t="s">
        <v>5</v>
      </c>
      <c r="E338" s="3">
        <v>1</v>
      </c>
    </row>
    <row r="339" spans="1:5" x14ac:dyDescent="0.25">
      <c r="A339" t="s">
        <v>10</v>
      </c>
      <c r="B339">
        <v>1311</v>
      </c>
      <c r="C339" t="s">
        <v>4</v>
      </c>
      <c r="D339" t="s">
        <v>5</v>
      </c>
      <c r="E339" s="3">
        <v>1</v>
      </c>
    </row>
    <row r="340" spans="1:5" x14ac:dyDescent="0.25">
      <c r="A340" t="s">
        <v>10</v>
      </c>
      <c r="B340">
        <v>1321</v>
      </c>
      <c r="C340" t="s">
        <v>4</v>
      </c>
      <c r="D340" t="s">
        <v>5</v>
      </c>
      <c r="E340" s="3">
        <v>1</v>
      </c>
    </row>
    <row r="341" spans="1:5" x14ac:dyDescent="0.25">
      <c r="A341" t="s">
        <v>10</v>
      </c>
      <c r="B341">
        <v>1322</v>
      </c>
      <c r="C341" t="s">
        <v>4</v>
      </c>
      <c r="D341" t="s">
        <v>5</v>
      </c>
      <c r="E341" s="3">
        <v>1</v>
      </c>
    </row>
    <row r="342" spans="1:5" x14ac:dyDescent="0.25">
      <c r="A342" t="s">
        <v>10</v>
      </c>
      <c r="B342">
        <v>1331</v>
      </c>
      <c r="C342" t="s">
        <v>4</v>
      </c>
      <c r="D342" t="s">
        <v>5</v>
      </c>
      <c r="E342" s="3">
        <v>1</v>
      </c>
    </row>
    <row r="343" spans="1:5" x14ac:dyDescent="0.25">
      <c r="A343" t="s">
        <v>10</v>
      </c>
      <c r="B343">
        <v>1411</v>
      </c>
      <c r="C343" t="s">
        <v>4</v>
      </c>
      <c r="D343" t="s">
        <v>5</v>
      </c>
      <c r="E343" s="3">
        <v>1</v>
      </c>
    </row>
    <row r="344" spans="1:5" x14ac:dyDescent="0.25">
      <c r="A344" t="s">
        <v>10</v>
      </c>
      <c r="B344">
        <v>1412</v>
      </c>
      <c r="C344" t="s">
        <v>4</v>
      </c>
      <c r="D344" t="s">
        <v>5</v>
      </c>
      <c r="E344" s="3">
        <v>1</v>
      </c>
    </row>
    <row r="345" spans="1:5" x14ac:dyDescent="0.25">
      <c r="A345" t="s">
        <v>10</v>
      </c>
      <c r="B345">
        <v>1421</v>
      </c>
      <c r="C345" t="s">
        <v>4</v>
      </c>
      <c r="D345" t="s">
        <v>5</v>
      </c>
      <c r="E345" s="3">
        <v>1</v>
      </c>
    </row>
    <row r="346" spans="1:5" x14ac:dyDescent="0.25">
      <c r="A346" t="s">
        <v>10</v>
      </c>
      <c r="B346">
        <v>1511</v>
      </c>
      <c r="C346" t="s">
        <v>4</v>
      </c>
      <c r="D346" t="s">
        <v>5</v>
      </c>
      <c r="E346" s="3">
        <v>1</v>
      </c>
    </row>
    <row r="347" spans="1:5" x14ac:dyDescent="0.25">
      <c r="A347" t="s">
        <v>10</v>
      </c>
      <c r="B347">
        <v>1512</v>
      </c>
      <c r="C347" t="s">
        <v>4</v>
      </c>
      <c r="D347" t="s">
        <v>5</v>
      </c>
      <c r="E347" s="3">
        <v>1</v>
      </c>
    </row>
    <row r="348" spans="1:5" x14ac:dyDescent="0.25">
      <c r="A348" t="s">
        <v>10</v>
      </c>
      <c r="B348">
        <v>1521</v>
      </c>
      <c r="C348" t="s">
        <v>4</v>
      </c>
      <c r="D348" t="s">
        <v>5</v>
      </c>
      <c r="E348" s="3">
        <v>1</v>
      </c>
    </row>
    <row r="349" spans="1:5" x14ac:dyDescent="0.25">
      <c r="A349" t="s">
        <v>10</v>
      </c>
      <c r="B349">
        <v>1522</v>
      </c>
      <c r="C349" t="s">
        <v>4</v>
      </c>
      <c r="D349" t="s">
        <v>5</v>
      </c>
      <c r="E349" s="3">
        <v>1</v>
      </c>
    </row>
    <row r="350" spans="1:5" x14ac:dyDescent="0.25">
      <c r="A350" t="s">
        <v>10</v>
      </c>
      <c r="B350">
        <v>1611</v>
      </c>
      <c r="C350" t="s">
        <v>4</v>
      </c>
      <c r="D350" t="s">
        <v>5</v>
      </c>
      <c r="E350" s="3">
        <v>1</v>
      </c>
    </row>
    <row r="351" spans="1:5" x14ac:dyDescent="0.25">
      <c r="A351" t="s">
        <v>10</v>
      </c>
      <c r="B351">
        <v>1612</v>
      </c>
      <c r="C351" t="s">
        <v>4</v>
      </c>
      <c r="D351" t="s">
        <v>5</v>
      </c>
      <c r="E351" s="3">
        <v>1</v>
      </c>
    </row>
    <row r="352" spans="1:5" x14ac:dyDescent="0.25">
      <c r="A352" t="s">
        <v>10</v>
      </c>
      <c r="B352">
        <v>1613</v>
      </c>
      <c r="C352" t="s">
        <v>4</v>
      </c>
      <c r="D352" t="s">
        <v>5</v>
      </c>
      <c r="E352" s="3">
        <v>1</v>
      </c>
    </row>
    <row r="353" spans="1:5" x14ac:dyDescent="0.25">
      <c r="A353" t="s">
        <v>10</v>
      </c>
      <c r="B353">
        <v>1614</v>
      </c>
      <c r="C353" t="s">
        <v>4</v>
      </c>
      <c r="D353" t="s">
        <v>5</v>
      </c>
      <c r="E353" s="3">
        <v>1</v>
      </c>
    </row>
    <row r="354" spans="1:5" x14ac:dyDescent="0.25">
      <c r="A354" t="s">
        <v>10</v>
      </c>
      <c r="B354">
        <v>1615</v>
      </c>
      <c r="C354" t="s">
        <v>4</v>
      </c>
      <c r="D354" t="s">
        <v>5</v>
      </c>
      <c r="E354" s="3">
        <v>1</v>
      </c>
    </row>
    <row r="355" spans="1:5" x14ac:dyDescent="0.25">
      <c r="A355" t="s">
        <v>10</v>
      </c>
      <c r="B355">
        <v>1616</v>
      </c>
      <c r="C355" t="s">
        <v>4</v>
      </c>
      <c r="D355" t="s">
        <v>5</v>
      </c>
      <c r="E355" s="3">
        <v>1</v>
      </c>
    </row>
    <row r="356" spans="1:5" x14ac:dyDescent="0.25">
      <c r="A356" t="s">
        <v>10</v>
      </c>
      <c r="B356">
        <v>1617</v>
      </c>
      <c r="C356" t="s">
        <v>4</v>
      </c>
      <c r="D356" t="s">
        <v>5</v>
      </c>
      <c r="E356" s="3">
        <v>1</v>
      </c>
    </row>
    <row r="357" spans="1:5" x14ac:dyDescent="0.25">
      <c r="A357" t="s">
        <v>10</v>
      </c>
      <c r="B357">
        <v>1621</v>
      </c>
      <c r="C357" t="s">
        <v>4</v>
      </c>
      <c r="D357" t="s">
        <v>5</v>
      </c>
      <c r="E357" s="3">
        <v>1</v>
      </c>
    </row>
    <row r="358" spans="1:5" x14ac:dyDescent="0.25">
      <c r="A358" t="s">
        <v>10</v>
      </c>
      <c r="B358">
        <v>1622</v>
      </c>
      <c r="C358" t="s">
        <v>4</v>
      </c>
      <c r="D358" t="s">
        <v>5</v>
      </c>
      <c r="E358" s="3">
        <v>1</v>
      </c>
    </row>
    <row r="359" spans="1:5" x14ac:dyDescent="0.25">
      <c r="A359" t="s">
        <v>10</v>
      </c>
      <c r="B359">
        <v>1623</v>
      </c>
      <c r="C359" t="s">
        <v>4</v>
      </c>
      <c r="D359" t="s">
        <v>5</v>
      </c>
      <c r="E359" s="3">
        <v>1</v>
      </c>
    </row>
    <row r="360" spans="1:5" x14ac:dyDescent="0.25">
      <c r="A360" t="s">
        <v>10</v>
      </c>
      <c r="B360">
        <v>1711</v>
      </c>
      <c r="C360" t="s">
        <v>4</v>
      </c>
      <c r="D360" t="s">
        <v>5</v>
      </c>
      <c r="E360" s="3">
        <v>1</v>
      </c>
    </row>
    <row r="361" spans="1:5" x14ac:dyDescent="0.25">
      <c r="A361" t="s">
        <v>10</v>
      </c>
      <c r="B361">
        <v>1712</v>
      </c>
      <c r="C361" t="s">
        <v>4</v>
      </c>
      <c r="D361" t="s">
        <v>5</v>
      </c>
      <c r="E361" s="3">
        <v>1</v>
      </c>
    </row>
    <row r="362" spans="1:5" x14ac:dyDescent="0.25">
      <c r="A362" t="s">
        <v>10</v>
      </c>
      <c r="B362">
        <v>1713</v>
      </c>
      <c r="C362" t="s">
        <v>4</v>
      </c>
      <c r="D362" t="s">
        <v>5</v>
      </c>
      <c r="E362" s="3">
        <v>1</v>
      </c>
    </row>
    <row r="363" spans="1:5" x14ac:dyDescent="0.25">
      <c r="A363" t="s">
        <v>10</v>
      </c>
      <c r="B363">
        <v>1721</v>
      </c>
      <c r="C363" t="s">
        <v>4</v>
      </c>
      <c r="D363" t="s">
        <v>5</v>
      </c>
      <c r="E363" s="3">
        <v>1</v>
      </c>
    </row>
    <row r="364" spans="1:5" x14ac:dyDescent="0.25">
      <c r="A364" t="s">
        <v>10</v>
      </c>
      <c r="B364">
        <v>1722</v>
      </c>
      <c r="C364" t="s">
        <v>4</v>
      </c>
      <c r="D364" t="s">
        <v>5</v>
      </c>
      <c r="E364" s="3">
        <v>1</v>
      </c>
    </row>
    <row r="365" spans="1:5" x14ac:dyDescent="0.25">
      <c r="A365" t="s">
        <v>10</v>
      </c>
      <c r="B365">
        <v>1723</v>
      </c>
      <c r="C365" t="s">
        <v>4</v>
      </c>
      <c r="D365" t="s">
        <v>5</v>
      </c>
      <c r="E365" s="3">
        <v>1</v>
      </c>
    </row>
    <row r="366" spans="1:5" x14ac:dyDescent="0.25">
      <c r="A366" t="s">
        <v>10</v>
      </c>
      <c r="B366">
        <v>1724</v>
      </c>
      <c r="C366" t="s">
        <v>4</v>
      </c>
      <c r="D366" t="s">
        <v>5</v>
      </c>
      <c r="E366" s="3">
        <v>1</v>
      </c>
    </row>
    <row r="367" spans="1:5" x14ac:dyDescent="0.25">
      <c r="A367" t="s">
        <v>10</v>
      </c>
      <c r="B367">
        <v>1811</v>
      </c>
      <c r="C367" t="s">
        <v>4</v>
      </c>
      <c r="D367" t="s">
        <v>5</v>
      </c>
      <c r="E367" s="3">
        <v>1</v>
      </c>
    </row>
    <row r="368" spans="1:5" x14ac:dyDescent="0.25">
      <c r="A368" t="s">
        <v>10</v>
      </c>
      <c r="B368">
        <v>1812</v>
      </c>
      <c r="C368" t="s">
        <v>4</v>
      </c>
      <c r="D368" t="s">
        <v>5</v>
      </c>
      <c r="E368" s="3">
        <v>1</v>
      </c>
    </row>
    <row r="369" spans="1:5" x14ac:dyDescent="0.25">
      <c r="A369" t="s">
        <v>10</v>
      </c>
      <c r="B369">
        <v>1813</v>
      </c>
      <c r="C369" t="s">
        <v>4</v>
      </c>
      <c r="D369" t="s">
        <v>5</v>
      </c>
      <c r="E369" s="3">
        <v>1</v>
      </c>
    </row>
    <row r="370" spans="1:5" x14ac:dyDescent="0.25">
      <c r="A370" t="s">
        <v>10</v>
      </c>
      <c r="B370">
        <v>1821</v>
      </c>
      <c r="C370" t="s">
        <v>4</v>
      </c>
      <c r="D370" t="s">
        <v>5</v>
      </c>
      <c r="E370" s="3">
        <v>1</v>
      </c>
    </row>
    <row r="371" spans="1:5" x14ac:dyDescent="0.25">
      <c r="A371" t="s">
        <v>10</v>
      </c>
      <c r="B371">
        <v>1911</v>
      </c>
      <c r="C371" t="s">
        <v>4</v>
      </c>
      <c r="D371" t="s">
        <v>5</v>
      </c>
      <c r="E371" s="3">
        <v>1</v>
      </c>
    </row>
    <row r="372" spans="1:5" x14ac:dyDescent="0.25">
      <c r="A372" t="s">
        <v>10</v>
      </c>
      <c r="B372">
        <v>1912</v>
      </c>
      <c r="C372" t="s">
        <v>4</v>
      </c>
      <c r="D372" t="s">
        <v>5</v>
      </c>
      <c r="E372" s="3">
        <v>1</v>
      </c>
    </row>
    <row r="373" spans="1:5" x14ac:dyDescent="0.25">
      <c r="A373" t="s">
        <v>10</v>
      </c>
      <c r="B373">
        <v>1921</v>
      </c>
      <c r="C373" t="s">
        <v>4</v>
      </c>
      <c r="D373" t="s">
        <v>5</v>
      </c>
      <c r="E373" s="3">
        <v>1</v>
      </c>
    </row>
    <row r="374" spans="1:5" x14ac:dyDescent="0.25">
      <c r="A374" t="s">
        <v>10</v>
      </c>
      <c r="B374">
        <v>1922</v>
      </c>
      <c r="C374" t="s">
        <v>4</v>
      </c>
      <c r="D374" t="s">
        <v>5</v>
      </c>
      <c r="E374" s="3">
        <v>1</v>
      </c>
    </row>
    <row r="375" spans="1:5" x14ac:dyDescent="0.25">
      <c r="A375" t="s">
        <v>10</v>
      </c>
      <c r="B375">
        <v>2011</v>
      </c>
      <c r="C375" t="s">
        <v>4</v>
      </c>
      <c r="D375" t="s">
        <v>5</v>
      </c>
      <c r="E375" s="3">
        <v>1</v>
      </c>
    </row>
    <row r="376" spans="1:5" x14ac:dyDescent="0.25">
      <c r="A376" t="s">
        <v>10</v>
      </c>
      <c r="B376">
        <v>2012</v>
      </c>
      <c r="C376" t="s">
        <v>4</v>
      </c>
      <c r="D376" t="s">
        <v>5</v>
      </c>
      <c r="E376" s="3">
        <v>1</v>
      </c>
    </row>
    <row r="377" spans="1:5" x14ac:dyDescent="0.25">
      <c r="A377" t="s">
        <v>10</v>
      </c>
      <c r="B377">
        <v>2019</v>
      </c>
      <c r="C377" t="s">
        <v>4</v>
      </c>
      <c r="D377" t="s">
        <v>5</v>
      </c>
      <c r="E377" s="3">
        <v>1</v>
      </c>
    </row>
    <row r="378" spans="1:5" x14ac:dyDescent="0.25">
      <c r="A378" t="s">
        <v>10</v>
      </c>
      <c r="B378">
        <v>2111</v>
      </c>
      <c r="C378" t="s">
        <v>4</v>
      </c>
      <c r="D378" t="s">
        <v>5</v>
      </c>
      <c r="E378" s="3">
        <v>1</v>
      </c>
    </row>
    <row r="379" spans="1:5" x14ac:dyDescent="0.25">
      <c r="A379" t="s">
        <v>10</v>
      </c>
      <c r="B379">
        <v>2121</v>
      </c>
      <c r="C379" t="s">
        <v>4</v>
      </c>
      <c r="D379" t="s">
        <v>5</v>
      </c>
      <c r="E379" s="3">
        <v>1</v>
      </c>
    </row>
    <row r="380" spans="1:5" x14ac:dyDescent="0.25">
      <c r="A380" t="s">
        <v>10</v>
      </c>
      <c r="B380">
        <v>2122</v>
      </c>
      <c r="C380" t="s">
        <v>4</v>
      </c>
      <c r="D380" t="s">
        <v>5</v>
      </c>
      <c r="E380" s="3">
        <v>1</v>
      </c>
    </row>
    <row r="381" spans="1:5" x14ac:dyDescent="0.25">
      <c r="A381" t="s">
        <v>10</v>
      </c>
      <c r="B381">
        <v>2211</v>
      </c>
      <c r="C381" t="s">
        <v>4</v>
      </c>
      <c r="D381" t="s">
        <v>5</v>
      </c>
      <c r="E381" s="3">
        <v>1</v>
      </c>
    </row>
    <row r="382" spans="1:5" x14ac:dyDescent="0.25">
      <c r="A382" t="s">
        <v>10</v>
      </c>
      <c r="B382">
        <v>2212</v>
      </c>
      <c r="C382" t="s">
        <v>4</v>
      </c>
      <c r="D382" t="s">
        <v>5</v>
      </c>
      <c r="E382" s="3">
        <v>1</v>
      </c>
    </row>
    <row r="383" spans="1:5" x14ac:dyDescent="0.25">
      <c r="A383" t="s">
        <v>10</v>
      </c>
      <c r="B383">
        <v>2221</v>
      </c>
      <c r="C383" t="s">
        <v>4</v>
      </c>
      <c r="D383" t="s">
        <v>5</v>
      </c>
      <c r="E383" s="3">
        <v>1</v>
      </c>
    </row>
    <row r="384" spans="1:5" x14ac:dyDescent="0.25">
      <c r="A384" t="s">
        <v>10</v>
      </c>
      <c r="B384">
        <v>2311</v>
      </c>
      <c r="C384" t="s">
        <v>4</v>
      </c>
      <c r="D384" t="s">
        <v>5</v>
      </c>
      <c r="E384" s="3">
        <v>1</v>
      </c>
    </row>
    <row r="385" spans="1:5" x14ac:dyDescent="0.25">
      <c r="A385" t="s">
        <v>10</v>
      </c>
      <c r="B385">
        <v>2312</v>
      </c>
      <c r="C385" t="s">
        <v>4</v>
      </c>
      <c r="D385" t="s">
        <v>5</v>
      </c>
      <c r="E385" s="3">
        <v>1</v>
      </c>
    </row>
    <row r="386" spans="1:5" x14ac:dyDescent="0.25">
      <c r="A386" t="s">
        <v>10</v>
      </c>
      <c r="B386">
        <v>2319</v>
      </c>
      <c r="C386" t="s">
        <v>4</v>
      </c>
      <c r="D386" t="s">
        <v>5</v>
      </c>
      <c r="E386" s="3">
        <v>1</v>
      </c>
    </row>
    <row r="387" spans="1:5" x14ac:dyDescent="0.25">
      <c r="A387" t="s">
        <v>10</v>
      </c>
      <c r="B387">
        <v>2331</v>
      </c>
      <c r="C387" t="s">
        <v>4</v>
      </c>
      <c r="D387" t="s">
        <v>5</v>
      </c>
      <c r="E387" s="3">
        <v>1</v>
      </c>
    </row>
    <row r="388" spans="1:5" x14ac:dyDescent="0.25">
      <c r="A388" t="s">
        <v>10</v>
      </c>
      <c r="B388">
        <v>2411</v>
      </c>
      <c r="C388" t="s">
        <v>4</v>
      </c>
      <c r="D388" t="s">
        <v>5</v>
      </c>
      <c r="E388" s="3">
        <v>1</v>
      </c>
    </row>
    <row r="389" spans="1:5" x14ac:dyDescent="0.25">
      <c r="A389" t="s">
        <v>10</v>
      </c>
      <c r="B389">
        <v>2412</v>
      </c>
      <c r="C389" t="s">
        <v>4</v>
      </c>
      <c r="D389" t="s">
        <v>5</v>
      </c>
      <c r="E389" s="3">
        <v>1</v>
      </c>
    </row>
    <row r="390" spans="1:5" x14ac:dyDescent="0.25">
      <c r="A390" t="s">
        <v>10</v>
      </c>
      <c r="B390">
        <v>2413</v>
      </c>
      <c r="C390" t="s">
        <v>4</v>
      </c>
      <c r="D390" t="s">
        <v>5</v>
      </c>
      <c r="E390" s="3">
        <v>1</v>
      </c>
    </row>
    <row r="391" spans="1:5" x14ac:dyDescent="0.25">
      <c r="A391" t="s">
        <v>10</v>
      </c>
      <c r="B391">
        <v>2414</v>
      </c>
      <c r="C391" t="s">
        <v>4</v>
      </c>
      <c r="D391" t="s">
        <v>5</v>
      </c>
      <c r="E391" s="3">
        <v>1</v>
      </c>
    </row>
    <row r="392" spans="1:5" x14ac:dyDescent="0.25">
      <c r="A392" t="s">
        <v>10</v>
      </c>
      <c r="B392">
        <v>2415</v>
      </c>
      <c r="C392" t="s">
        <v>4</v>
      </c>
      <c r="D392" t="s">
        <v>5</v>
      </c>
      <c r="E392" s="3">
        <v>1</v>
      </c>
    </row>
    <row r="393" spans="1:5" x14ac:dyDescent="0.25">
      <c r="A393" t="s">
        <v>10</v>
      </c>
      <c r="B393">
        <v>2419</v>
      </c>
      <c r="C393" t="s">
        <v>4</v>
      </c>
      <c r="D393" t="s">
        <v>5</v>
      </c>
      <c r="E393" s="3">
        <v>1</v>
      </c>
    </row>
    <row r="394" spans="1:5" x14ac:dyDescent="0.25">
      <c r="A394" t="s">
        <v>10</v>
      </c>
      <c r="B394">
        <v>2511</v>
      </c>
      <c r="C394" t="s">
        <v>4</v>
      </c>
      <c r="D394" t="s">
        <v>5</v>
      </c>
      <c r="E394" s="3">
        <v>1</v>
      </c>
    </row>
    <row r="395" spans="1:5" x14ac:dyDescent="0.25">
      <c r="A395" t="s">
        <v>10</v>
      </c>
      <c r="B395">
        <v>2512</v>
      </c>
      <c r="C395" t="s">
        <v>4</v>
      </c>
      <c r="D395" t="s">
        <v>5</v>
      </c>
      <c r="E395" s="3">
        <v>1</v>
      </c>
    </row>
    <row r="396" spans="1:5" x14ac:dyDescent="0.25">
      <c r="A396" t="s">
        <v>10</v>
      </c>
      <c r="B396">
        <v>2519</v>
      </c>
      <c r="C396" t="s">
        <v>4</v>
      </c>
      <c r="D396" t="s">
        <v>5</v>
      </c>
      <c r="E396" s="3">
        <v>1</v>
      </c>
    </row>
    <row r="397" spans="1:5" x14ac:dyDescent="0.25">
      <c r="A397" t="s">
        <v>10</v>
      </c>
      <c r="B397">
        <v>2521</v>
      </c>
      <c r="C397" t="s">
        <v>4</v>
      </c>
      <c r="D397" t="s">
        <v>5</v>
      </c>
      <c r="E397" s="3">
        <v>1</v>
      </c>
    </row>
    <row r="398" spans="1:5" x14ac:dyDescent="0.25">
      <c r="A398" t="s">
        <v>10</v>
      </c>
      <c r="B398">
        <v>311</v>
      </c>
      <c r="C398" t="s">
        <v>4</v>
      </c>
      <c r="D398" t="s">
        <v>5</v>
      </c>
      <c r="E398" s="3">
        <v>1</v>
      </c>
    </row>
    <row r="399" spans="1:5" x14ac:dyDescent="0.25">
      <c r="A399" t="s">
        <v>10</v>
      </c>
      <c r="B399">
        <v>312</v>
      </c>
      <c r="C399" t="s">
        <v>4</v>
      </c>
      <c r="D399" t="s">
        <v>5</v>
      </c>
      <c r="E399" s="3">
        <v>1</v>
      </c>
    </row>
    <row r="400" spans="1:5" x14ac:dyDescent="0.25">
      <c r="A400" t="s">
        <v>10</v>
      </c>
      <c r="B400">
        <v>321</v>
      </c>
      <c r="C400" t="s">
        <v>4</v>
      </c>
      <c r="D400" t="s">
        <v>5</v>
      </c>
      <c r="E400" s="3">
        <v>1</v>
      </c>
    </row>
    <row r="401" spans="1:5" x14ac:dyDescent="0.25">
      <c r="A401" t="s">
        <v>10</v>
      </c>
      <c r="B401">
        <v>322</v>
      </c>
      <c r="C401" t="s">
        <v>4</v>
      </c>
      <c r="D401" t="s">
        <v>5</v>
      </c>
      <c r="E401" s="3">
        <v>1</v>
      </c>
    </row>
    <row r="402" spans="1:5" x14ac:dyDescent="0.25">
      <c r="A402" t="s">
        <v>10</v>
      </c>
      <c r="B402">
        <v>411</v>
      </c>
      <c r="C402" t="s">
        <v>4</v>
      </c>
      <c r="D402" t="s">
        <v>5</v>
      </c>
      <c r="E402" s="3">
        <v>1</v>
      </c>
    </row>
    <row r="403" spans="1:5" x14ac:dyDescent="0.25">
      <c r="A403" t="s">
        <v>10</v>
      </c>
      <c r="B403">
        <v>421</v>
      </c>
      <c r="C403" t="s">
        <v>4</v>
      </c>
      <c r="D403" t="s">
        <v>5</v>
      </c>
      <c r="E403" s="3">
        <v>1</v>
      </c>
    </row>
    <row r="404" spans="1:5" x14ac:dyDescent="0.25">
      <c r="A404" t="s">
        <v>10</v>
      </c>
      <c r="B404">
        <v>422</v>
      </c>
      <c r="C404" t="s">
        <v>4</v>
      </c>
      <c r="D404" t="s">
        <v>5</v>
      </c>
      <c r="E404" s="3">
        <v>1</v>
      </c>
    </row>
    <row r="405" spans="1:5" x14ac:dyDescent="0.25">
      <c r="A405" t="s">
        <v>10</v>
      </c>
      <c r="B405">
        <v>431</v>
      </c>
      <c r="C405" t="s">
        <v>4</v>
      </c>
      <c r="D405" t="s">
        <v>5</v>
      </c>
      <c r="E405" s="3">
        <v>1</v>
      </c>
    </row>
    <row r="406" spans="1:5" x14ac:dyDescent="0.25">
      <c r="A406" t="s">
        <v>10</v>
      </c>
      <c r="B406">
        <v>511</v>
      </c>
      <c r="C406" t="s">
        <v>4</v>
      </c>
      <c r="D406" t="s">
        <v>5</v>
      </c>
      <c r="E406" s="3">
        <v>1</v>
      </c>
    </row>
    <row r="407" spans="1:5" x14ac:dyDescent="0.25">
      <c r="A407" t="s">
        <v>10</v>
      </c>
      <c r="B407">
        <v>512</v>
      </c>
      <c r="C407" t="s">
        <v>4</v>
      </c>
      <c r="D407" t="s">
        <v>5</v>
      </c>
      <c r="E407" s="3">
        <v>1</v>
      </c>
    </row>
    <row r="408" spans="1:5" x14ac:dyDescent="0.25">
      <c r="A408" t="s">
        <v>10</v>
      </c>
      <c r="B408">
        <v>513</v>
      </c>
      <c r="C408" t="s">
        <v>4</v>
      </c>
      <c r="D408" t="s">
        <v>5</v>
      </c>
      <c r="E408" s="3">
        <v>1</v>
      </c>
    </row>
    <row r="409" spans="1:5" x14ac:dyDescent="0.25">
      <c r="A409" t="s">
        <v>10</v>
      </c>
      <c r="B409">
        <v>514</v>
      </c>
      <c r="C409" t="s">
        <v>4</v>
      </c>
      <c r="D409" t="s">
        <v>5</v>
      </c>
      <c r="E409" s="3">
        <v>1</v>
      </c>
    </row>
    <row r="410" spans="1:5" x14ac:dyDescent="0.25">
      <c r="A410" t="s">
        <v>10</v>
      </c>
      <c r="B410">
        <v>515</v>
      </c>
      <c r="C410" t="s">
        <v>4</v>
      </c>
      <c r="D410" t="s">
        <v>5</v>
      </c>
      <c r="E410" s="3">
        <v>1</v>
      </c>
    </row>
    <row r="411" spans="1:5" x14ac:dyDescent="0.25">
      <c r="A411" t="s">
        <v>10</v>
      </c>
      <c r="B411">
        <v>521</v>
      </c>
      <c r="C411" t="s">
        <v>4</v>
      </c>
      <c r="D411" t="s">
        <v>5</v>
      </c>
      <c r="E411" s="3">
        <v>1</v>
      </c>
    </row>
    <row r="412" spans="1:5" x14ac:dyDescent="0.25">
      <c r="A412" t="s">
        <v>10</v>
      </c>
      <c r="B412">
        <v>611</v>
      </c>
      <c r="C412" t="s">
        <v>4</v>
      </c>
      <c r="D412" t="s">
        <v>5</v>
      </c>
      <c r="E412" s="3">
        <v>1</v>
      </c>
    </row>
    <row r="413" spans="1:5" x14ac:dyDescent="0.25">
      <c r="A413" t="s">
        <v>10</v>
      </c>
      <c r="B413">
        <v>612</v>
      </c>
      <c r="C413" t="s">
        <v>4</v>
      </c>
      <c r="D413" t="s">
        <v>5</v>
      </c>
      <c r="E413" s="3">
        <v>1</v>
      </c>
    </row>
    <row r="414" spans="1:5" x14ac:dyDescent="0.25">
      <c r="A414" t="s">
        <v>10</v>
      </c>
      <c r="B414">
        <v>621</v>
      </c>
      <c r="C414" t="s">
        <v>4</v>
      </c>
      <c r="D414" t="s">
        <v>5</v>
      </c>
      <c r="E414" s="3">
        <v>1</v>
      </c>
    </row>
    <row r="415" spans="1:5" x14ac:dyDescent="0.25">
      <c r="A415" t="s">
        <v>10</v>
      </c>
      <c r="B415">
        <v>622</v>
      </c>
      <c r="C415" t="s">
        <v>4</v>
      </c>
      <c r="D415" t="s">
        <v>5</v>
      </c>
      <c r="E415" s="3">
        <v>1</v>
      </c>
    </row>
    <row r="416" spans="1:5" x14ac:dyDescent="0.25">
      <c r="A416" t="s">
        <v>10</v>
      </c>
      <c r="B416">
        <v>711</v>
      </c>
      <c r="C416" t="s">
        <v>4</v>
      </c>
      <c r="D416" t="s">
        <v>5</v>
      </c>
      <c r="E416" s="3">
        <v>1</v>
      </c>
    </row>
    <row r="417" spans="1:5" x14ac:dyDescent="0.25">
      <c r="A417" t="s">
        <v>10</v>
      </c>
      <c r="B417">
        <v>731</v>
      </c>
      <c r="C417" t="s">
        <v>4</v>
      </c>
      <c r="D417" t="s">
        <v>5</v>
      </c>
      <c r="E417" s="3">
        <v>1</v>
      </c>
    </row>
    <row r="418" spans="1:5" x14ac:dyDescent="0.25">
      <c r="A418" t="s">
        <v>10</v>
      </c>
      <c r="B418">
        <v>811</v>
      </c>
      <c r="C418" t="s">
        <v>4</v>
      </c>
      <c r="D418" t="s">
        <v>5</v>
      </c>
      <c r="E418" s="3">
        <v>1</v>
      </c>
    </row>
    <row r="419" spans="1:5" x14ac:dyDescent="0.25">
      <c r="A419" t="s">
        <v>10</v>
      </c>
      <c r="B419">
        <v>812</v>
      </c>
      <c r="C419" t="s">
        <v>4</v>
      </c>
      <c r="D419" t="s">
        <v>5</v>
      </c>
      <c r="E419" s="3">
        <v>1</v>
      </c>
    </row>
    <row r="420" spans="1:5" x14ac:dyDescent="0.25">
      <c r="A420" t="s">
        <v>10</v>
      </c>
      <c r="B420">
        <v>813</v>
      </c>
      <c r="C420" t="s">
        <v>4</v>
      </c>
      <c r="D420" t="s">
        <v>5</v>
      </c>
      <c r="E420" s="3">
        <v>1</v>
      </c>
    </row>
    <row r="421" spans="1:5" x14ac:dyDescent="0.25">
      <c r="A421" t="s">
        <v>10</v>
      </c>
      <c r="B421">
        <v>814</v>
      </c>
      <c r="C421" t="s">
        <v>4</v>
      </c>
      <c r="D421" t="s">
        <v>5</v>
      </c>
      <c r="E421" s="3">
        <v>1</v>
      </c>
    </row>
    <row r="422" spans="1:5" x14ac:dyDescent="0.25">
      <c r="A422" t="s">
        <v>10</v>
      </c>
      <c r="B422">
        <v>821</v>
      </c>
      <c r="C422" t="s">
        <v>4</v>
      </c>
      <c r="D422" t="s">
        <v>5</v>
      </c>
      <c r="E422" s="3">
        <v>1</v>
      </c>
    </row>
    <row r="423" spans="1:5" x14ac:dyDescent="0.25">
      <c r="A423" t="s">
        <v>10</v>
      </c>
      <c r="B423">
        <v>831</v>
      </c>
      <c r="C423" t="s">
        <v>4</v>
      </c>
      <c r="D423" t="s">
        <v>5</v>
      </c>
      <c r="E423" s="3">
        <v>1</v>
      </c>
    </row>
    <row r="424" spans="1:5" x14ac:dyDescent="0.25">
      <c r="A424" t="s">
        <v>10</v>
      </c>
      <c r="B424">
        <v>911</v>
      </c>
      <c r="C424" t="s">
        <v>4</v>
      </c>
      <c r="D424" t="s">
        <v>5</v>
      </c>
      <c r="E424" s="3">
        <v>1</v>
      </c>
    </row>
    <row r="425" spans="1:5" x14ac:dyDescent="0.25">
      <c r="A425" t="s">
        <v>10</v>
      </c>
      <c r="B425">
        <v>912</v>
      </c>
      <c r="C425" t="s">
        <v>4</v>
      </c>
      <c r="D425" t="s">
        <v>5</v>
      </c>
      <c r="E425" s="3">
        <v>1</v>
      </c>
    </row>
    <row r="426" spans="1:5" x14ac:dyDescent="0.25">
      <c r="A426" t="s">
        <v>10</v>
      </c>
      <c r="B426">
        <v>913</v>
      </c>
      <c r="C426" t="s">
        <v>4</v>
      </c>
      <c r="D426" t="s">
        <v>5</v>
      </c>
      <c r="E426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GeoDistributor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2025-05-02T21:12:37Z</dcterms:modified>
</cp:coreProperties>
</file>