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ttleHerd" sheetId="4" r:id="rId1"/>
    <sheet name="FeedMgmt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" i="4" l="1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54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15" i="4"/>
  <c r="H14" i="4"/>
  <c r="H9" i="4" l="1"/>
  <c r="H2" i="5"/>
  <c r="H3" i="4"/>
  <c r="H2" i="4"/>
  <c r="H6" i="4"/>
  <c r="H5" i="4"/>
  <c r="Q5" i="4"/>
  <c r="Q4" i="4"/>
  <c r="O5" i="4"/>
  <c r="H8" i="4"/>
  <c r="O4" i="4"/>
  <c r="H11" i="4"/>
</calcChain>
</file>

<file path=xl/sharedStrings.xml><?xml version="1.0" encoding="utf-8"?>
<sst xmlns="http://schemas.openxmlformats.org/spreadsheetml/2006/main" count="536" uniqueCount="75">
  <si>
    <t>parameter</t>
  </si>
  <si>
    <t>val_is</t>
  </si>
  <si>
    <t>abs</t>
  </si>
  <si>
    <t>y_0</t>
  </si>
  <si>
    <t>dairy</t>
  </si>
  <si>
    <t>cows</t>
  </si>
  <si>
    <t>share_in_ration</t>
  </si>
  <si>
    <t>f_feed</t>
  </si>
  <si>
    <t>f_animal</t>
  </si>
  <si>
    <t>f_breed</t>
  </si>
  <si>
    <t>ley silage, regrowth</t>
  </si>
  <si>
    <t>grazing</t>
  </si>
  <si>
    <t>milk_prod</t>
  </si>
  <si>
    <t>ley silage, 1st cut</t>
  </si>
  <si>
    <t>f_prod_system</t>
  </si>
  <si>
    <t>conventional</t>
  </si>
  <si>
    <t>organic</t>
  </si>
  <si>
    <t>calving_interval</t>
  </si>
  <si>
    <t>orig.</t>
  </si>
  <si>
    <t>recruitment_rate</t>
  </si>
  <si>
    <t>ret.</t>
  </si>
  <si>
    <t>cattle</t>
  </si>
  <si>
    <t>Semi-natural pastures</t>
  </si>
  <si>
    <t>max_crop_in_crop_prod</t>
  </si>
  <si>
    <t>f_species</t>
  </si>
  <si>
    <t>f_crop_group</t>
  </si>
  <si>
    <t>f_crop_prod</t>
  </si>
  <si>
    <t>other silage</t>
  </si>
  <si>
    <t>maize silage</t>
  </si>
  <si>
    <t>straw</t>
  </si>
  <si>
    <t>wheat</t>
  </si>
  <si>
    <t>barley</t>
  </si>
  <si>
    <t>oats</t>
  </si>
  <si>
    <t>triticale</t>
  </si>
  <si>
    <t>rye</t>
  </si>
  <si>
    <t>maize</t>
  </si>
  <si>
    <t>peas</t>
  </si>
  <si>
    <t>broad beans</t>
  </si>
  <si>
    <t>rapeseed</t>
  </si>
  <si>
    <t>linseed</t>
  </si>
  <si>
    <t>vegetable oils</t>
  </si>
  <si>
    <t>soybeans</t>
  </si>
  <si>
    <t>soybean meal</t>
  </si>
  <si>
    <t>soybean protein concentrate</t>
  </si>
  <si>
    <t>rapeseed meal</t>
  </si>
  <si>
    <t>rapeseed cake</t>
  </si>
  <si>
    <t>sunflower seed meal</t>
  </si>
  <si>
    <t>palm kernel expeller</t>
  </si>
  <si>
    <t>luzern meal</t>
  </si>
  <si>
    <t>wheat bran</t>
  </si>
  <si>
    <t>wheat bran, fine</t>
  </si>
  <si>
    <t>oat hulls</t>
  </si>
  <si>
    <t>oat bran</t>
  </si>
  <si>
    <t>rye bran</t>
  </si>
  <si>
    <t>wheat distillers grain, dry</t>
  </si>
  <si>
    <t>barley brewers grain</t>
  </si>
  <si>
    <t>maize gluten meal</t>
  </si>
  <si>
    <t>sugar beet molasses</t>
  </si>
  <si>
    <t>sugar beet pulp</t>
  </si>
  <si>
    <t>whey powder</t>
  </si>
  <si>
    <t>potatoe protein</t>
  </si>
  <si>
    <t>fish meal</t>
  </si>
  <si>
    <t>minerals</t>
  </si>
  <si>
    <t>live_weight</t>
  </si>
  <si>
    <t>kg</t>
  </si>
  <si>
    <t>%</t>
  </si>
  <si>
    <t>months</t>
  </si>
  <si>
    <t>kg/cow/year</t>
  </si>
  <si>
    <t>% of DM</t>
  </si>
  <si>
    <t>Assumes that 100% semi-natural grassland grazing possible when retired</t>
  </si>
  <si>
    <t>Months as dairy cow</t>
  </si>
  <si>
    <t>tot.</t>
  </si>
  <si>
    <t>maize based</t>
  </si>
  <si>
    <t>f_sub_system</t>
  </si>
  <si>
    <t>Feed 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</si>
</sst>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  <xf numFmtId="1" fontId="0" fillId="0" borderId="0" xfId="0" applyNumberFormat="1"/>
    <xf numFmtId="0" fontId="3" fillId="0" borderId="0" xfId="0" applyFont="1"/>
    <xf numFmtId="0" fontId="0" fillId="0" borderId="0" xfId="0" applyAlignment="1"/>
    <xf numFmtId="1" fontId="2" fillId="0" borderId="0" xfId="0" applyNumberFormat="1" applyFont="1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1"/>
  <sheetViews>
    <sheetView tabSelected="1" workbookViewId="0">
      <selection activeCell="O14" sqref="O14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14.28515625" customWidth="1"/>
    <col min="5" max="5" width="18.7109375" bestFit="1" customWidth="1"/>
    <col min="6" max="6" width="16.28515625" bestFit="1" customWidth="1"/>
    <col min="7" max="7" width="6" bestFit="1" customWidth="1"/>
    <col min="8" max="8" width="9.5703125" bestFit="1" customWidth="1"/>
  </cols>
  <sheetData>
    <row r="1" spans="1:17" x14ac:dyDescent="0.25">
      <c r="A1" s="4" t="s">
        <v>9</v>
      </c>
      <c r="B1" s="4" t="s">
        <v>14</v>
      </c>
      <c r="C1" s="4" t="s">
        <v>73</v>
      </c>
      <c r="D1" s="4" t="s">
        <v>8</v>
      </c>
      <c r="E1" s="4" t="s">
        <v>7</v>
      </c>
      <c r="F1" s="4" t="s">
        <v>0</v>
      </c>
      <c r="G1" s="4" t="s">
        <v>1</v>
      </c>
      <c r="H1" s="4" t="s">
        <v>3</v>
      </c>
      <c r="J1" t="s">
        <v>18</v>
      </c>
      <c r="K1" t="s">
        <v>20</v>
      </c>
    </row>
    <row r="2" spans="1:17" x14ac:dyDescent="0.25">
      <c r="A2" t="s">
        <v>4</v>
      </c>
      <c r="B2" t="s">
        <v>15</v>
      </c>
      <c r="F2" t="s">
        <v>12</v>
      </c>
      <c r="G2" t="s">
        <v>2</v>
      </c>
      <c r="H2" s="5">
        <f>(J2*O4+K2*P4)/Q4</f>
        <v>8456.6849430619986</v>
      </c>
      <c r="J2" s="5">
        <v>10025.4</v>
      </c>
      <c r="K2">
        <v>0</v>
      </c>
      <c r="L2" t="s">
        <v>67</v>
      </c>
      <c r="N2" s="10" t="s">
        <v>70</v>
      </c>
      <c r="O2" s="9"/>
      <c r="P2" s="9"/>
      <c r="Q2" s="9"/>
    </row>
    <row r="3" spans="1:17" x14ac:dyDescent="0.25">
      <c r="A3" t="s">
        <v>4</v>
      </c>
      <c r="B3" t="s">
        <v>16</v>
      </c>
      <c r="F3" t="s">
        <v>12</v>
      </c>
      <c r="G3" t="s">
        <v>2</v>
      </c>
      <c r="H3" s="5">
        <f>(J3*O5+K3*P5)/Q5</f>
        <v>7934.942820838628</v>
      </c>
      <c r="J3" s="5">
        <v>9367.2000000000007</v>
      </c>
      <c r="K3">
        <v>0</v>
      </c>
      <c r="L3" t="s">
        <v>67</v>
      </c>
      <c r="N3" s="9"/>
      <c r="O3" s="11" t="s">
        <v>18</v>
      </c>
      <c r="P3" s="11" t="s">
        <v>20</v>
      </c>
      <c r="Q3" s="11" t="s">
        <v>71</v>
      </c>
    </row>
    <row r="4" spans="1:17" x14ac:dyDescent="0.25">
      <c r="N4" s="9" t="s">
        <v>15</v>
      </c>
      <c r="O4" s="12">
        <f>12/(J8/100)</f>
        <v>32.345013477088948</v>
      </c>
      <c r="P4" s="11">
        <v>6</v>
      </c>
      <c r="Q4" s="12">
        <f>O4+P4</f>
        <v>38.345013477088948</v>
      </c>
    </row>
    <row r="5" spans="1:17" x14ac:dyDescent="0.25">
      <c r="A5" t="s">
        <v>4</v>
      </c>
      <c r="B5" t="s">
        <v>15</v>
      </c>
      <c r="F5" t="s">
        <v>17</v>
      </c>
      <c r="G5" t="s">
        <v>2</v>
      </c>
      <c r="H5" s="1">
        <f>1/(1/J5*O4/Q4)</f>
        <v>15.648599999999998</v>
      </c>
      <c r="J5">
        <v>13.2</v>
      </c>
      <c r="L5" t="s">
        <v>66</v>
      </c>
      <c r="N5" s="9" t="s">
        <v>16</v>
      </c>
      <c r="O5" s="12">
        <f>12/(J9/100)</f>
        <v>33.2409972299169</v>
      </c>
      <c r="P5" s="11">
        <v>6</v>
      </c>
      <c r="Q5" s="12">
        <f>O5+P5</f>
        <v>39.2409972299169</v>
      </c>
    </row>
    <row r="6" spans="1:17" x14ac:dyDescent="0.25">
      <c r="A6" t="s">
        <v>4</v>
      </c>
      <c r="B6" t="s">
        <v>16</v>
      </c>
      <c r="F6" t="s">
        <v>17</v>
      </c>
      <c r="G6" t="s">
        <v>2</v>
      </c>
      <c r="H6" s="1">
        <f>1/(1/J6*O5/Q5)</f>
        <v>15.22845</v>
      </c>
      <c r="J6">
        <v>12.9</v>
      </c>
      <c r="L6" t="s">
        <v>66</v>
      </c>
    </row>
    <row r="8" spans="1:17" x14ac:dyDescent="0.25">
      <c r="A8" t="s">
        <v>4</v>
      </c>
      <c r="B8" t="s">
        <v>15</v>
      </c>
      <c r="F8" t="s">
        <v>19</v>
      </c>
      <c r="G8" t="s">
        <v>2</v>
      </c>
      <c r="H8" s="1">
        <f>12/Q4*100</f>
        <v>31.294812315478705</v>
      </c>
      <c r="J8">
        <v>37.1</v>
      </c>
      <c r="L8" t="s">
        <v>65</v>
      </c>
    </row>
    <row r="9" spans="1:17" x14ac:dyDescent="0.25">
      <c r="A9" t="s">
        <v>4</v>
      </c>
      <c r="B9" t="s">
        <v>16</v>
      </c>
      <c r="F9" t="s">
        <v>19</v>
      </c>
      <c r="G9" t="s">
        <v>2</v>
      </c>
      <c r="H9" s="1">
        <f>12/Q5*100</f>
        <v>30.580262600592967</v>
      </c>
      <c r="J9">
        <v>36.1</v>
      </c>
      <c r="L9" t="s">
        <v>65</v>
      </c>
    </row>
    <row r="11" spans="1:17" x14ac:dyDescent="0.25">
      <c r="A11" t="s">
        <v>4</v>
      </c>
      <c r="B11" s="6"/>
      <c r="C11" s="6"/>
      <c r="D11" s="3" t="s">
        <v>5</v>
      </c>
      <c r="F11" s="3" t="s">
        <v>63</v>
      </c>
      <c r="G11" s="3" t="s">
        <v>2</v>
      </c>
      <c r="H11" s="8">
        <f>J11</f>
        <v>651.52821361702138</v>
      </c>
      <c r="I11" s="3"/>
      <c r="J11" s="5">
        <v>651.52821361702138</v>
      </c>
      <c r="K11" s="5"/>
      <c r="L11" t="s">
        <v>64</v>
      </c>
      <c r="M11" s="7"/>
    </row>
    <row r="12" spans="1:17" x14ac:dyDescent="0.25">
      <c r="B12" s="6"/>
      <c r="C12" s="6"/>
      <c r="D12" s="6"/>
      <c r="E12" s="3"/>
      <c r="F12" s="3"/>
      <c r="G12" s="3"/>
      <c r="H12" s="3"/>
      <c r="I12" s="3"/>
      <c r="J12" s="3"/>
      <c r="K12" s="5"/>
      <c r="M12" s="7"/>
    </row>
    <row r="13" spans="1:17" x14ac:dyDescent="0.25">
      <c r="A13" s="6" t="s">
        <v>74</v>
      </c>
      <c r="B13" s="6"/>
      <c r="C13" s="6"/>
      <c r="D13" s="6"/>
      <c r="E13" s="3"/>
      <c r="F13" s="3"/>
      <c r="G13" s="3"/>
      <c r="H13" s="3"/>
      <c r="I13" s="3"/>
      <c r="J13" s="3"/>
      <c r="K13" s="5"/>
      <c r="M13" s="7"/>
    </row>
    <row r="14" spans="1:17" x14ac:dyDescent="0.25">
      <c r="A14" t="s">
        <v>4</v>
      </c>
      <c r="D14" t="s">
        <v>5</v>
      </c>
      <c r="E14" t="s">
        <v>13</v>
      </c>
      <c r="F14" s="1" t="s">
        <v>6</v>
      </c>
      <c r="G14" t="s">
        <v>2</v>
      </c>
      <c r="H14" s="2">
        <f>(J14*AVERAGE(O$4:O$5)+K14*AVERAGE(P$4:P$5))/AVERAGE(Q$4:Q$5)</f>
        <v>35.065130954277009</v>
      </c>
      <c r="I14" s="1"/>
      <c r="J14" s="1">
        <v>41.480852339300604</v>
      </c>
      <c r="K14">
        <v>0</v>
      </c>
      <c r="L14" t="s">
        <v>68</v>
      </c>
    </row>
    <row r="15" spans="1:17" x14ac:dyDescent="0.25">
      <c r="A15" t="s">
        <v>4</v>
      </c>
      <c r="D15" t="s">
        <v>5</v>
      </c>
      <c r="E15" t="s">
        <v>10</v>
      </c>
      <c r="F15" s="1" t="s">
        <v>6</v>
      </c>
      <c r="G15" t="s">
        <v>2</v>
      </c>
      <c r="H15" s="2">
        <f>(J15*AVERAGE(O$4:O$5)+K15*AVERAGE(P$4:P$5))/AVERAGE(Q$4:Q$5)</f>
        <v>11.483031167620981</v>
      </c>
      <c r="I15" s="1"/>
      <c r="J15" s="1">
        <v>9.9247167513786927</v>
      </c>
      <c r="K15">
        <v>20</v>
      </c>
    </row>
    <row r="16" spans="1:17" x14ac:dyDescent="0.25">
      <c r="A16" t="s">
        <v>4</v>
      </c>
      <c r="D16" t="s">
        <v>5</v>
      </c>
      <c r="E16" t="s">
        <v>27</v>
      </c>
      <c r="F16" s="1" t="s">
        <v>6</v>
      </c>
      <c r="G16" t="s">
        <v>2</v>
      </c>
      <c r="H16" s="2">
        <f t="shared" ref="H16:H52" si="0">(J16*AVERAGE(O$4:O$5)+K16*AVERAGE(P$4:P$5))/AVERAGE(Q$4:Q$5)</f>
        <v>0</v>
      </c>
      <c r="I16" s="1"/>
      <c r="J16" s="1">
        <v>0</v>
      </c>
      <c r="K16">
        <v>0</v>
      </c>
    </row>
    <row r="17" spans="1:11" x14ac:dyDescent="0.25">
      <c r="A17" t="s">
        <v>4</v>
      </c>
      <c r="D17" t="s">
        <v>5</v>
      </c>
      <c r="E17" t="s">
        <v>28</v>
      </c>
      <c r="F17" t="s">
        <v>6</v>
      </c>
      <c r="G17" t="s">
        <v>2</v>
      </c>
      <c r="H17" s="2">
        <f t="shared" si="0"/>
        <v>0</v>
      </c>
      <c r="J17" s="1">
        <v>0</v>
      </c>
      <c r="K17">
        <v>0</v>
      </c>
    </row>
    <row r="18" spans="1:11" x14ac:dyDescent="0.25">
      <c r="A18" t="s">
        <v>4</v>
      </c>
      <c r="D18" t="s">
        <v>5</v>
      </c>
      <c r="E18" t="s">
        <v>29</v>
      </c>
      <c r="F18" t="s">
        <v>6</v>
      </c>
      <c r="G18" t="s">
        <v>2</v>
      </c>
      <c r="H18" s="2">
        <f t="shared" si="0"/>
        <v>2.677992654215605</v>
      </c>
      <c r="J18" s="1">
        <v>3.1679738484393072</v>
      </c>
      <c r="K18">
        <v>0</v>
      </c>
    </row>
    <row r="19" spans="1:11" x14ac:dyDescent="0.25">
      <c r="A19" t="s">
        <v>4</v>
      </c>
      <c r="D19" t="s">
        <v>5</v>
      </c>
      <c r="E19" t="s">
        <v>11</v>
      </c>
      <c r="F19" t="s">
        <v>6</v>
      </c>
      <c r="G19" t="s">
        <v>2</v>
      </c>
      <c r="H19" s="2">
        <f t="shared" si="0"/>
        <v>17.959284135213494</v>
      </c>
      <c r="J19" s="1">
        <v>6.6079520088655128</v>
      </c>
      <c r="K19">
        <v>80</v>
      </c>
    </row>
    <row r="20" spans="1:11" x14ac:dyDescent="0.25">
      <c r="A20" t="s">
        <v>4</v>
      </c>
      <c r="D20" t="s">
        <v>5</v>
      </c>
      <c r="E20" t="s">
        <v>30</v>
      </c>
      <c r="F20" t="s">
        <v>6</v>
      </c>
      <c r="G20" t="s">
        <v>2</v>
      </c>
      <c r="H20" s="2">
        <f t="shared" si="0"/>
        <v>5.1985771209550329</v>
      </c>
      <c r="J20" s="1">
        <v>6.1497391870569844</v>
      </c>
      <c r="K20">
        <v>0</v>
      </c>
    </row>
    <row r="21" spans="1:11" x14ac:dyDescent="0.25">
      <c r="A21" t="s">
        <v>4</v>
      </c>
      <c r="D21" t="s">
        <v>5</v>
      </c>
      <c r="E21" t="s">
        <v>31</v>
      </c>
      <c r="F21" t="s">
        <v>6</v>
      </c>
      <c r="G21" t="s">
        <v>2</v>
      </c>
      <c r="H21" s="2">
        <f t="shared" si="0"/>
        <v>9.5443212402758206</v>
      </c>
      <c r="J21" s="1">
        <v>11.290606059990822</v>
      </c>
      <c r="K21">
        <v>0</v>
      </c>
    </row>
    <row r="22" spans="1:11" x14ac:dyDescent="0.25">
      <c r="A22" t="s">
        <v>4</v>
      </c>
      <c r="D22" t="s">
        <v>5</v>
      </c>
      <c r="E22" t="s">
        <v>32</v>
      </c>
      <c r="F22" t="s">
        <v>6</v>
      </c>
      <c r="G22" t="s">
        <v>2</v>
      </c>
      <c r="H22" s="2">
        <f t="shared" si="0"/>
        <v>2.1391991282889431</v>
      </c>
      <c r="J22" s="1">
        <v>2.5305995086863016</v>
      </c>
      <c r="K22">
        <v>0</v>
      </c>
    </row>
    <row r="23" spans="1:11" x14ac:dyDescent="0.25">
      <c r="A23" t="s">
        <v>4</v>
      </c>
      <c r="D23" t="s">
        <v>5</v>
      </c>
      <c r="E23" t="s">
        <v>33</v>
      </c>
      <c r="F23" t="s">
        <v>6</v>
      </c>
      <c r="G23" t="s">
        <v>2</v>
      </c>
      <c r="H23" s="2">
        <f t="shared" si="0"/>
        <v>3.3556659930573081</v>
      </c>
      <c r="J23" s="1">
        <v>3.9696382637077976</v>
      </c>
      <c r="K23">
        <v>0</v>
      </c>
    </row>
    <row r="24" spans="1:11" x14ac:dyDescent="0.25">
      <c r="A24" t="s">
        <v>4</v>
      </c>
      <c r="D24" t="s">
        <v>5</v>
      </c>
      <c r="E24" t="s">
        <v>34</v>
      </c>
      <c r="F24" t="s">
        <v>6</v>
      </c>
      <c r="G24" t="s">
        <v>2</v>
      </c>
      <c r="H24" s="2">
        <f t="shared" si="0"/>
        <v>9.5291187899020444E-3</v>
      </c>
      <c r="J24" s="1">
        <v>1.1272622080408017E-2</v>
      </c>
      <c r="K24">
        <v>0</v>
      </c>
    </row>
    <row r="25" spans="1:11" x14ac:dyDescent="0.25">
      <c r="A25" t="s">
        <v>4</v>
      </c>
      <c r="D25" t="s">
        <v>5</v>
      </c>
      <c r="E25" t="s">
        <v>35</v>
      </c>
      <c r="F25" t="s">
        <v>6</v>
      </c>
      <c r="G25" t="s">
        <v>2</v>
      </c>
      <c r="H25" s="2">
        <f t="shared" si="0"/>
        <v>0.33642843709768427</v>
      </c>
      <c r="J25" s="1">
        <v>0.39798335104430993</v>
      </c>
      <c r="K25">
        <v>0</v>
      </c>
    </row>
    <row r="26" spans="1:11" x14ac:dyDescent="0.25">
      <c r="A26" t="s">
        <v>4</v>
      </c>
      <c r="D26" t="s">
        <v>5</v>
      </c>
      <c r="E26" t="s">
        <v>36</v>
      </c>
      <c r="F26" t="s">
        <v>6</v>
      </c>
      <c r="G26" t="s">
        <v>2</v>
      </c>
      <c r="H26" s="2">
        <f t="shared" si="0"/>
        <v>5.2578475569974636E-2</v>
      </c>
      <c r="J26" s="1">
        <v>6.2198540886316538E-2</v>
      </c>
      <c r="K26">
        <v>0</v>
      </c>
    </row>
    <row r="27" spans="1:11" x14ac:dyDescent="0.25">
      <c r="A27" t="s">
        <v>4</v>
      </c>
      <c r="D27" t="s">
        <v>5</v>
      </c>
      <c r="E27" t="s">
        <v>37</v>
      </c>
      <c r="F27" t="s">
        <v>6</v>
      </c>
      <c r="G27" t="s">
        <v>2</v>
      </c>
      <c r="H27" s="2">
        <f t="shared" si="0"/>
        <v>0.18067524009326183</v>
      </c>
      <c r="J27" s="1">
        <v>0.21373263842786655</v>
      </c>
      <c r="K27">
        <v>0</v>
      </c>
    </row>
    <row r="28" spans="1:11" x14ac:dyDescent="0.25">
      <c r="A28" t="s">
        <v>4</v>
      </c>
      <c r="D28" t="s">
        <v>5</v>
      </c>
      <c r="E28" t="s">
        <v>38</v>
      </c>
      <c r="F28" t="s">
        <v>6</v>
      </c>
      <c r="G28" t="s">
        <v>2</v>
      </c>
      <c r="H28" s="2">
        <f t="shared" si="0"/>
        <v>2.8601693546458935</v>
      </c>
      <c r="J28" s="1">
        <v>3.3834826631664936</v>
      </c>
      <c r="K28">
        <v>0</v>
      </c>
    </row>
    <row r="29" spans="1:11" x14ac:dyDescent="0.25">
      <c r="A29" t="s">
        <v>4</v>
      </c>
      <c r="D29" t="s">
        <v>5</v>
      </c>
      <c r="E29" t="s">
        <v>39</v>
      </c>
      <c r="F29" t="s">
        <v>6</v>
      </c>
      <c r="G29" t="s">
        <v>2</v>
      </c>
      <c r="H29" s="2">
        <f t="shared" si="0"/>
        <v>2.1098290627364949E-3</v>
      </c>
      <c r="J29" s="1">
        <v>2.4958557242137649E-3</v>
      </c>
      <c r="K29">
        <v>0</v>
      </c>
    </row>
    <row r="30" spans="1:11" x14ac:dyDescent="0.25">
      <c r="A30" t="s">
        <v>4</v>
      </c>
      <c r="D30" t="s">
        <v>5</v>
      </c>
      <c r="E30" t="s">
        <v>40</v>
      </c>
      <c r="F30" t="s">
        <v>6</v>
      </c>
      <c r="G30" t="s">
        <v>2</v>
      </c>
      <c r="H30" s="2">
        <f t="shared" si="0"/>
        <v>5.4469327974363269E-2</v>
      </c>
      <c r="J30" s="1">
        <v>6.4435354702415792E-2</v>
      </c>
      <c r="K30">
        <v>0</v>
      </c>
    </row>
    <row r="31" spans="1:11" x14ac:dyDescent="0.25">
      <c r="A31" t="s">
        <v>4</v>
      </c>
      <c r="D31" t="s">
        <v>5</v>
      </c>
      <c r="E31" t="s">
        <v>41</v>
      </c>
      <c r="F31" t="s">
        <v>6</v>
      </c>
      <c r="G31" t="s">
        <v>2</v>
      </c>
      <c r="H31" s="2">
        <f t="shared" si="0"/>
        <v>5.3229086651959259E-2</v>
      </c>
      <c r="J31" s="1">
        <v>6.2968191575980506E-2</v>
      </c>
      <c r="K31">
        <v>0</v>
      </c>
    </row>
    <row r="32" spans="1:11" x14ac:dyDescent="0.25">
      <c r="A32" t="s">
        <v>4</v>
      </c>
      <c r="D32" t="s">
        <v>5</v>
      </c>
      <c r="E32" t="s">
        <v>42</v>
      </c>
      <c r="F32" t="s">
        <v>6</v>
      </c>
      <c r="G32" t="s">
        <v>2</v>
      </c>
      <c r="H32" s="2">
        <f t="shared" si="0"/>
        <v>0.48622795661874357</v>
      </c>
      <c r="J32" s="1">
        <v>0.57519106653391427</v>
      </c>
      <c r="K32">
        <v>0</v>
      </c>
    </row>
    <row r="33" spans="1:11" x14ac:dyDescent="0.25">
      <c r="A33" t="s">
        <v>4</v>
      </c>
      <c r="D33" t="s">
        <v>5</v>
      </c>
      <c r="E33" t="s">
        <v>43</v>
      </c>
      <c r="F33" t="s">
        <v>6</v>
      </c>
      <c r="G33" t="s">
        <v>2</v>
      </c>
      <c r="H33" s="2">
        <f t="shared" si="0"/>
        <v>0</v>
      </c>
      <c r="J33" s="1">
        <v>0</v>
      </c>
      <c r="K33">
        <v>0</v>
      </c>
    </row>
    <row r="34" spans="1:11" x14ac:dyDescent="0.25">
      <c r="A34" t="s">
        <v>4</v>
      </c>
      <c r="B34" t="s">
        <v>15</v>
      </c>
      <c r="D34" t="s">
        <v>5</v>
      </c>
      <c r="E34" t="s">
        <v>44</v>
      </c>
      <c r="F34" t="s">
        <v>6</v>
      </c>
      <c r="G34" t="s">
        <v>2</v>
      </c>
      <c r="H34" s="2">
        <f t="shared" si="0"/>
        <v>3.7554461553743028</v>
      </c>
      <c r="J34" s="1">
        <v>4.4425645420347344</v>
      </c>
      <c r="K34">
        <v>0</v>
      </c>
    </row>
    <row r="35" spans="1:11" x14ac:dyDescent="0.25">
      <c r="A35" t="s">
        <v>4</v>
      </c>
      <c r="B35" t="s">
        <v>16</v>
      </c>
      <c r="D35" t="s">
        <v>5</v>
      </c>
      <c r="E35" t="s">
        <v>45</v>
      </c>
      <c r="F35" t="s">
        <v>6</v>
      </c>
      <c r="G35" t="s">
        <v>2</v>
      </c>
      <c r="H35" s="2">
        <f t="shared" si="0"/>
        <v>3.7554461553743028</v>
      </c>
      <c r="J35" s="1">
        <v>4.4425645420347344</v>
      </c>
      <c r="K35">
        <v>0</v>
      </c>
    </row>
    <row r="36" spans="1:11" x14ac:dyDescent="0.25">
      <c r="A36" t="s">
        <v>4</v>
      </c>
      <c r="D36" t="s">
        <v>5</v>
      </c>
      <c r="E36" t="s">
        <v>46</v>
      </c>
      <c r="F36" t="s">
        <v>6</v>
      </c>
      <c r="G36" t="s">
        <v>2</v>
      </c>
      <c r="H36" s="2">
        <f t="shared" si="0"/>
        <v>5.1877853620620071E-2</v>
      </c>
      <c r="J36" s="1">
        <v>6.136972904857535E-2</v>
      </c>
      <c r="K36">
        <v>0</v>
      </c>
    </row>
    <row r="37" spans="1:11" x14ac:dyDescent="0.25">
      <c r="A37" t="s">
        <v>4</v>
      </c>
      <c r="D37" t="s">
        <v>5</v>
      </c>
      <c r="E37" t="s">
        <v>47</v>
      </c>
      <c r="F37" t="s">
        <v>6</v>
      </c>
      <c r="G37" t="s">
        <v>2</v>
      </c>
      <c r="H37" s="2">
        <f t="shared" si="0"/>
        <v>0.3370980988200809</v>
      </c>
      <c r="J37" s="1">
        <v>0.39877553799094467</v>
      </c>
      <c r="K37">
        <v>0</v>
      </c>
    </row>
    <row r="38" spans="1:11" x14ac:dyDescent="0.25">
      <c r="A38" t="s">
        <v>4</v>
      </c>
      <c r="D38" t="s">
        <v>5</v>
      </c>
      <c r="E38" t="s">
        <v>48</v>
      </c>
      <c r="F38" t="s">
        <v>6</v>
      </c>
      <c r="G38" t="s">
        <v>2</v>
      </c>
      <c r="H38" s="2">
        <f t="shared" si="0"/>
        <v>0.10254154016157009</v>
      </c>
      <c r="J38" s="1">
        <v>0.12130313990935594</v>
      </c>
      <c r="K38">
        <v>0</v>
      </c>
    </row>
    <row r="39" spans="1:11" x14ac:dyDescent="0.25">
      <c r="A39" t="s">
        <v>4</v>
      </c>
      <c r="D39" t="s">
        <v>5</v>
      </c>
      <c r="E39" t="s">
        <v>49</v>
      </c>
      <c r="F39" t="s">
        <v>6</v>
      </c>
      <c r="G39" t="s">
        <v>2</v>
      </c>
      <c r="H39" s="2">
        <f t="shared" si="0"/>
        <v>1.117203853602853</v>
      </c>
      <c r="J39" s="1">
        <v>1.321614002942858</v>
      </c>
      <c r="K39">
        <v>0</v>
      </c>
    </row>
    <row r="40" spans="1:11" x14ac:dyDescent="0.25">
      <c r="A40" t="s">
        <v>4</v>
      </c>
      <c r="D40" t="s">
        <v>5</v>
      </c>
      <c r="E40" t="s">
        <v>50</v>
      </c>
      <c r="F40" t="s">
        <v>6</v>
      </c>
      <c r="G40" t="s">
        <v>2</v>
      </c>
      <c r="H40" s="2">
        <f t="shared" si="0"/>
        <v>2.9286777361271837E-3</v>
      </c>
      <c r="J40" s="1">
        <v>3.4645257386917328E-3</v>
      </c>
      <c r="K40">
        <v>0</v>
      </c>
    </row>
    <row r="41" spans="1:11" x14ac:dyDescent="0.25">
      <c r="A41" t="s">
        <v>4</v>
      </c>
      <c r="D41" t="s">
        <v>5</v>
      </c>
      <c r="E41" t="s">
        <v>51</v>
      </c>
      <c r="F41" t="s">
        <v>6</v>
      </c>
      <c r="G41" t="s">
        <v>2</v>
      </c>
      <c r="H41" s="2">
        <f t="shared" si="0"/>
        <v>0.13455634104146133</v>
      </c>
      <c r="J41" s="1">
        <v>0.15917555594859789</v>
      </c>
      <c r="K41">
        <v>0</v>
      </c>
    </row>
    <row r="42" spans="1:11" x14ac:dyDescent="0.25">
      <c r="A42" t="s">
        <v>4</v>
      </c>
      <c r="D42" t="s">
        <v>5</v>
      </c>
      <c r="E42" t="s">
        <v>52</v>
      </c>
      <c r="F42" t="s">
        <v>6</v>
      </c>
      <c r="G42" t="s">
        <v>2</v>
      </c>
      <c r="H42" s="2">
        <f t="shared" si="0"/>
        <v>1.5186202735678004E-2</v>
      </c>
      <c r="J42" s="1">
        <v>1.7964759181842063E-2</v>
      </c>
      <c r="K42">
        <v>0</v>
      </c>
    </row>
    <row r="43" spans="1:11" x14ac:dyDescent="0.25">
      <c r="A43" t="s">
        <v>4</v>
      </c>
      <c r="D43" t="s">
        <v>5</v>
      </c>
      <c r="E43" t="s">
        <v>53</v>
      </c>
      <c r="F43" t="s">
        <v>6</v>
      </c>
      <c r="G43" t="s">
        <v>2</v>
      </c>
      <c r="H43" s="2">
        <f t="shared" si="0"/>
        <v>4.6834413856914829E-2</v>
      </c>
      <c r="J43" s="1">
        <v>5.5403512056737859E-2</v>
      </c>
      <c r="K43">
        <v>0</v>
      </c>
    </row>
    <row r="44" spans="1:11" x14ac:dyDescent="0.25">
      <c r="A44" t="s">
        <v>4</v>
      </c>
      <c r="D44" t="s">
        <v>5</v>
      </c>
      <c r="E44" t="s">
        <v>54</v>
      </c>
      <c r="F44" t="s">
        <v>6</v>
      </c>
      <c r="G44" t="s">
        <v>2</v>
      </c>
      <c r="H44" s="2">
        <f t="shared" si="0"/>
        <v>1.2008880081227276</v>
      </c>
      <c r="J44" s="1">
        <v>1.4206094996744831</v>
      </c>
      <c r="K44">
        <v>0</v>
      </c>
    </row>
    <row r="45" spans="1:11" x14ac:dyDescent="0.25">
      <c r="A45" t="s">
        <v>4</v>
      </c>
      <c r="D45" t="s">
        <v>5</v>
      </c>
      <c r="E45" t="s">
        <v>55</v>
      </c>
      <c r="F45" t="s">
        <v>6</v>
      </c>
      <c r="G45" t="s">
        <v>2</v>
      </c>
      <c r="H45" s="2">
        <f t="shared" si="0"/>
        <v>0</v>
      </c>
      <c r="J45" s="1">
        <v>0</v>
      </c>
      <c r="K45">
        <v>0</v>
      </c>
    </row>
    <row r="46" spans="1:11" x14ac:dyDescent="0.25">
      <c r="A46" t="s">
        <v>4</v>
      </c>
      <c r="D46" t="s">
        <v>5</v>
      </c>
      <c r="E46" t="s">
        <v>56</v>
      </c>
      <c r="F46" t="s">
        <v>6</v>
      </c>
      <c r="G46" t="s">
        <v>2</v>
      </c>
      <c r="H46" s="2">
        <f t="shared" si="0"/>
        <v>3.6287065551853195E-2</v>
      </c>
      <c r="J46" s="1">
        <v>4.2926359235494246E-2</v>
      </c>
      <c r="K46">
        <v>0</v>
      </c>
    </row>
    <row r="47" spans="1:11" x14ac:dyDescent="0.25">
      <c r="A47" t="s">
        <v>4</v>
      </c>
      <c r="D47" t="s">
        <v>5</v>
      </c>
      <c r="E47" t="s">
        <v>57</v>
      </c>
      <c r="F47" t="s">
        <v>6</v>
      </c>
      <c r="G47" t="s">
        <v>2</v>
      </c>
      <c r="H47" s="2">
        <f t="shared" si="0"/>
        <v>0.40240155066153915</v>
      </c>
      <c r="J47" s="1">
        <v>0.47602729121024218</v>
      </c>
      <c r="K47">
        <v>0</v>
      </c>
    </row>
    <row r="48" spans="1:11" x14ac:dyDescent="0.25">
      <c r="A48" t="s">
        <v>4</v>
      </c>
      <c r="D48" t="s">
        <v>5</v>
      </c>
      <c r="E48" t="s">
        <v>58</v>
      </c>
      <c r="F48" t="s">
        <v>6</v>
      </c>
      <c r="G48" t="s">
        <v>2</v>
      </c>
      <c r="H48" s="2">
        <f t="shared" si="0"/>
        <v>0.77646562019237053</v>
      </c>
      <c r="J48" s="1">
        <v>0.91853231005300495</v>
      </c>
      <c r="K48">
        <v>0</v>
      </c>
    </row>
    <row r="49" spans="1:12" x14ac:dyDescent="0.25">
      <c r="A49" t="s">
        <v>4</v>
      </c>
      <c r="D49" t="s">
        <v>5</v>
      </c>
      <c r="E49" t="s">
        <v>59</v>
      </c>
      <c r="F49" t="s">
        <v>6</v>
      </c>
      <c r="G49" t="s">
        <v>2</v>
      </c>
      <c r="H49" s="2">
        <f t="shared" si="0"/>
        <v>0</v>
      </c>
      <c r="J49" s="1">
        <v>0</v>
      </c>
      <c r="K49">
        <v>0</v>
      </c>
    </row>
    <row r="50" spans="1:12" x14ac:dyDescent="0.25">
      <c r="A50" t="s">
        <v>4</v>
      </c>
      <c r="D50" t="s">
        <v>5</v>
      </c>
      <c r="E50" t="s">
        <v>60</v>
      </c>
      <c r="F50" t="s">
        <v>6</v>
      </c>
      <c r="G50" t="s">
        <v>2</v>
      </c>
      <c r="H50" s="2">
        <f t="shared" si="0"/>
        <v>3.5548588969916833E-3</v>
      </c>
      <c r="J50" s="1">
        <v>4.2052766660258274E-3</v>
      </c>
      <c r="K50">
        <v>0</v>
      </c>
    </row>
    <row r="51" spans="1:12" x14ac:dyDescent="0.25">
      <c r="A51" t="s">
        <v>4</v>
      </c>
      <c r="D51" t="s">
        <v>5</v>
      </c>
      <c r="E51" t="s">
        <v>61</v>
      </c>
      <c r="F51" t="s">
        <v>6</v>
      </c>
      <c r="G51" t="s">
        <v>2</v>
      </c>
      <c r="H51" s="2">
        <f t="shared" si="0"/>
        <v>0</v>
      </c>
      <c r="J51" s="1">
        <v>0</v>
      </c>
      <c r="K51">
        <v>0</v>
      </c>
    </row>
    <row r="52" spans="1:12" x14ac:dyDescent="0.25">
      <c r="A52" t="s">
        <v>4</v>
      </c>
      <c r="D52" t="s">
        <v>5</v>
      </c>
      <c r="E52" t="s">
        <v>62</v>
      </c>
      <c r="F52" t="s">
        <v>6</v>
      </c>
      <c r="G52" t="s">
        <v>2</v>
      </c>
      <c r="H52" s="2">
        <f t="shared" si="0"/>
        <v>0.55811053921619613</v>
      </c>
      <c r="J52" s="1">
        <v>0.66022570674046432</v>
      </c>
      <c r="K52">
        <v>0</v>
      </c>
    </row>
    <row r="54" spans="1:12" x14ac:dyDescent="0.25">
      <c r="A54" t="s">
        <v>4</v>
      </c>
      <c r="B54" t="s">
        <v>15</v>
      </c>
      <c r="C54" t="s">
        <v>72</v>
      </c>
      <c r="D54" t="s">
        <v>5</v>
      </c>
      <c r="E54" t="s">
        <v>13</v>
      </c>
      <c r="F54" t="s">
        <v>6</v>
      </c>
      <c r="G54" t="s">
        <v>2</v>
      </c>
      <c r="H54" s="2">
        <f>(J54*O$5+K54*P$5)/Q$5</f>
        <v>19.43099883589889</v>
      </c>
      <c r="J54" s="1">
        <v>22.93829412577864</v>
      </c>
      <c r="K54">
        <v>0</v>
      </c>
      <c r="L54" t="s">
        <v>68</v>
      </c>
    </row>
    <row r="55" spans="1:12" x14ac:dyDescent="0.25">
      <c r="A55" t="s">
        <v>4</v>
      </c>
      <c r="B55" t="s">
        <v>15</v>
      </c>
      <c r="C55" t="s">
        <v>72</v>
      </c>
      <c r="D55" t="s">
        <v>5</v>
      </c>
      <c r="E55" t="s">
        <v>10</v>
      </c>
      <c r="F55" t="s">
        <v>6</v>
      </c>
      <c r="G55" t="s">
        <v>2</v>
      </c>
      <c r="H55" s="2">
        <f t="shared" ref="H55:H91" si="1">(J55*O$5+K55*P$5)/Q$5</f>
        <v>12.070156034123363</v>
      </c>
      <c r="J55" s="1">
        <v>10.638819198282629</v>
      </c>
      <c r="K55">
        <v>20</v>
      </c>
    </row>
    <row r="56" spans="1:12" x14ac:dyDescent="0.25">
      <c r="A56" t="s">
        <v>4</v>
      </c>
      <c r="B56" t="s">
        <v>15</v>
      </c>
      <c r="C56" t="s">
        <v>72</v>
      </c>
      <c r="D56" t="s">
        <v>5</v>
      </c>
      <c r="E56" t="s">
        <v>27</v>
      </c>
      <c r="F56" t="s">
        <v>6</v>
      </c>
      <c r="G56" t="s">
        <v>2</v>
      </c>
      <c r="H56" s="2">
        <f t="shared" si="1"/>
        <v>0</v>
      </c>
      <c r="J56" s="1">
        <v>0</v>
      </c>
      <c r="K56">
        <v>0</v>
      </c>
    </row>
    <row r="57" spans="1:12" x14ac:dyDescent="0.25">
      <c r="A57" t="s">
        <v>4</v>
      </c>
      <c r="B57" t="s">
        <v>15</v>
      </c>
      <c r="C57" t="s">
        <v>72</v>
      </c>
      <c r="D57" t="s">
        <v>5</v>
      </c>
      <c r="E57" t="s">
        <v>28</v>
      </c>
      <c r="F57" t="s">
        <v>6</v>
      </c>
      <c r="G57" t="s">
        <v>2</v>
      </c>
      <c r="H57" s="2">
        <f t="shared" si="1"/>
        <v>13.448580140564772</v>
      </c>
      <c r="J57" s="1">
        <v>15.876048855936714</v>
      </c>
      <c r="K57">
        <v>0</v>
      </c>
    </row>
    <row r="58" spans="1:12" x14ac:dyDescent="0.25">
      <c r="A58" t="s">
        <v>4</v>
      </c>
      <c r="B58" t="s">
        <v>15</v>
      </c>
      <c r="C58" t="s">
        <v>72</v>
      </c>
      <c r="D58" t="s">
        <v>5</v>
      </c>
      <c r="E58" t="s">
        <v>29</v>
      </c>
      <c r="F58" t="s">
        <v>6</v>
      </c>
      <c r="G58" t="s">
        <v>2</v>
      </c>
      <c r="H58" s="2">
        <f t="shared" si="1"/>
        <v>2.6241131981589798</v>
      </c>
      <c r="J58" s="1">
        <v>3.0977656304266756</v>
      </c>
      <c r="K58">
        <v>0</v>
      </c>
    </row>
    <row r="59" spans="1:12" x14ac:dyDescent="0.25">
      <c r="A59" t="s">
        <v>4</v>
      </c>
      <c r="B59" t="s">
        <v>15</v>
      </c>
      <c r="C59" t="s">
        <v>72</v>
      </c>
      <c r="D59" t="s">
        <v>5</v>
      </c>
      <c r="E59" t="s">
        <v>11</v>
      </c>
      <c r="F59" t="s">
        <v>6</v>
      </c>
      <c r="G59" t="s">
        <v>2</v>
      </c>
      <c r="H59" s="2">
        <f t="shared" si="1"/>
        <v>17.705639516479042</v>
      </c>
      <c r="J59" s="1">
        <v>6.4615074492035101</v>
      </c>
      <c r="K59">
        <v>80</v>
      </c>
    </row>
    <row r="60" spans="1:12" x14ac:dyDescent="0.25">
      <c r="A60" t="s">
        <v>4</v>
      </c>
      <c r="B60" t="s">
        <v>15</v>
      </c>
      <c r="C60" t="s">
        <v>72</v>
      </c>
      <c r="D60" t="s">
        <v>5</v>
      </c>
      <c r="E60" t="s">
        <v>30</v>
      </c>
      <c r="F60" t="s">
        <v>6</v>
      </c>
      <c r="G60" t="s">
        <v>2</v>
      </c>
      <c r="H60" s="2">
        <f t="shared" si="1"/>
        <v>4.3180754966311454</v>
      </c>
      <c r="J60" s="1">
        <v>5.0974881237730667</v>
      </c>
      <c r="K60">
        <v>0</v>
      </c>
    </row>
    <row r="61" spans="1:12" x14ac:dyDescent="0.25">
      <c r="A61" t="s">
        <v>4</v>
      </c>
      <c r="B61" t="s">
        <v>15</v>
      </c>
      <c r="C61" t="s">
        <v>72</v>
      </c>
      <c r="D61" t="s">
        <v>5</v>
      </c>
      <c r="E61" t="s">
        <v>31</v>
      </c>
      <c r="F61" t="s">
        <v>6</v>
      </c>
      <c r="G61" t="s">
        <v>2</v>
      </c>
      <c r="H61" s="2">
        <f t="shared" si="1"/>
        <v>7.1191613876119337</v>
      </c>
      <c r="J61" s="1">
        <v>8.404170018075888</v>
      </c>
      <c r="K61">
        <v>0</v>
      </c>
    </row>
    <row r="62" spans="1:12" x14ac:dyDescent="0.25">
      <c r="A62" t="s">
        <v>4</v>
      </c>
      <c r="B62" t="s">
        <v>15</v>
      </c>
      <c r="C62" t="s">
        <v>72</v>
      </c>
      <c r="D62" t="s">
        <v>5</v>
      </c>
      <c r="E62" t="s">
        <v>32</v>
      </c>
      <c r="F62" t="s">
        <v>6</v>
      </c>
      <c r="G62" t="s">
        <v>2</v>
      </c>
      <c r="H62" s="2">
        <f t="shared" si="1"/>
        <v>1.7295115821840779</v>
      </c>
      <c r="J62" s="1">
        <v>2.0416884227683041</v>
      </c>
      <c r="K62">
        <v>0</v>
      </c>
    </row>
    <row r="63" spans="1:12" x14ac:dyDescent="0.25">
      <c r="A63" t="s">
        <v>4</v>
      </c>
      <c r="B63" t="s">
        <v>15</v>
      </c>
      <c r="C63" t="s">
        <v>72</v>
      </c>
      <c r="D63" t="s">
        <v>5</v>
      </c>
      <c r="E63" t="s">
        <v>33</v>
      </c>
      <c r="F63" t="s">
        <v>6</v>
      </c>
      <c r="G63" t="s">
        <v>2</v>
      </c>
      <c r="H63" s="2">
        <f t="shared" si="1"/>
        <v>2.2325868435539413</v>
      </c>
      <c r="J63" s="1">
        <v>2.6355687688154275</v>
      </c>
      <c r="K63">
        <v>0</v>
      </c>
    </row>
    <row r="64" spans="1:12" x14ac:dyDescent="0.25">
      <c r="A64" t="s">
        <v>4</v>
      </c>
      <c r="B64" t="s">
        <v>15</v>
      </c>
      <c r="C64" t="s">
        <v>72</v>
      </c>
      <c r="D64" t="s">
        <v>5</v>
      </c>
      <c r="E64" t="s">
        <v>34</v>
      </c>
      <c r="F64" t="s">
        <v>6</v>
      </c>
      <c r="G64" t="s">
        <v>2</v>
      </c>
      <c r="H64" s="2">
        <f t="shared" si="1"/>
        <v>1.4756693541618749E-2</v>
      </c>
      <c r="J64" s="1">
        <v>1.7420276725880934E-2</v>
      </c>
      <c r="K64">
        <v>0</v>
      </c>
    </row>
    <row r="65" spans="1:11" x14ac:dyDescent="0.25">
      <c r="A65" t="s">
        <v>4</v>
      </c>
      <c r="B65" t="s">
        <v>15</v>
      </c>
      <c r="C65" t="s">
        <v>72</v>
      </c>
      <c r="D65" t="s">
        <v>5</v>
      </c>
      <c r="E65" t="s">
        <v>35</v>
      </c>
      <c r="F65" t="s">
        <v>6</v>
      </c>
      <c r="G65" t="s">
        <v>2</v>
      </c>
      <c r="H65" s="2">
        <f t="shared" si="1"/>
        <v>0.52098955364028166</v>
      </c>
      <c r="J65" s="1">
        <v>0.6150281680723525</v>
      </c>
      <c r="K65">
        <v>0</v>
      </c>
    </row>
    <row r="66" spans="1:11" x14ac:dyDescent="0.25">
      <c r="A66" t="s">
        <v>4</v>
      </c>
      <c r="B66" t="s">
        <v>15</v>
      </c>
      <c r="C66" t="s">
        <v>72</v>
      </c>
      <c r="D66" t="s">
        <v>5</v>
      </c>
      <c r="E66" t="s">
        <v>36</v>
      </c>
      <c r="F66" t="s">
        <v>6</v>
      </c>
      <c r="G66" t="s">
        <v>2</v>
      </c>
      <c r="H66" s="2">
        <f t="shared" si="1"/>
        <v>8.1422476514177194E-2</v>
      </c>
      <c r="J66" s="1">
        <v>9.6119233524986178E-2</v>
      </c>
      <c r="K66">
        <v>0</v>
      </c>
    </row>
    <row r="67" spans="1:11" x14ac:dyDescent="0.25">
      <c r="A67" t="s">
        <v>4</v>
      </c>
      <c r="B67" t="s">
        <v>15</v>
      </c>
      <c r="C67" t="s">
        <v>72</v>
      </c>
      <c r="D67" t="s">
        <v>5</v>
      </c>
      <c r="E67" t="s">
        <v>37</v>
      </c>
      <c r="F67" t="s">
        <v>6</v>
      </c>
      <c r="G67" t="s">
        <v>2</v>
      </c>
      <c r="H67" s="2">
        <f t="shared" si="1"/>
        <v>0.27979178425606138</v>
      </c>
      <c r="J67" s="1">
        <v>0.33029420131428044</v>
      </c>
      <c r="K67">
        <v>0</v>
      </c>
    </row>
    <row r="68" spans="1:11" x14ac:dyDescent="0.25">
      <c r="A68" t="s">
        <v>4</v>
      </c>
      <c r="B68" t="s">
        <v>15</v>
      </c>
      <c r="C68" t="s">
        <v>72</v>
      </c>
      <c r="D68" t="s">
        <v>5</v>
      </c>
      <c r="E68" t="s">
        <v>38</v>
      </c>
      <c r="F68" t="s">
        <v>6</v>
      </c>
      <c r="G68" t="s">
        <v>2</v>
      </c>
      <c r="H68" s="2">
        <f t="shared" si="1"/>
        <v>4.4292283026595358</v>
      </c>
      <c r="J68" s="1">
        <v>5.2287040112895822</v>
      </c>
      <c r="K68">
        <v>0</v>
      </c>
    </row>
    <row r="69" spans="1:11" x14ac:dyDescent="0.25">
      <c r="A69" t="s">
        <v>4</v>
      </c>
      <c r="B69" t="s">
        <v>15</v>
      </c>
      <c r="C69" t="s">
        <v>72</v>
      </c>
      <c r="D69" t="s">
        <v>5</v>
      </c>
      <c r="E69" t="s">
        <v>39</v>
      </c>
      <c r="F69" t="s">
        <v>6</v>
      </c>
      <c r="G69" t="s">
        <v>2</v>
      </c>
      <c r="H69" s="2">
        <f t="shared" si="1"/>
        <v>3.2672591863369157E-3</v>
      </c>
      <c r="J69" s="1">
        <v>3.8569994694707295E-3</v>
      </c>
      <c r="K69">
        <v>0</v>
      </c>
    </row>
    <row r="70" spans="1:11" x14ac:dyDescent="0.25">
      <c r="A70" t="s">
        <v>4</v>
      </c>
      <c r="B70" t="s">
        <v>15</v>
      </c>
      <c r="C70" t="s">
        <v>72</v>
      </c>
      <c r="D70" t="s">
        <v>5</v>
      </c>
      <c r="E70" t="s">
        <v>40</v>
      </c>
      <c r="F70" t="s">
        <v>6</v>
      </c>
      <c r="G70" t="s">
        <v>2</v>
      </c>
      <c r="H70" s="2">
        <f t="shared" si="1"/>
        <v>8.4350630741151914E-2</v>
      </c>
      <c r="J70" s="1">
        <v>9.957591958992984E-2</v>
      </c>
      <c r="K70">
        <v>0</v>
      </c>
    </row>
    <row r="71" spans="1:11" x14ac:dyDescent="0.25">
      <c r="A71" t="s">
        <v>4</v>
      </c>
      <c r="B71" t="s">
        <v>15</v>
      </c>
      <c r="C71" t="s">
        <v>72</v>
      </c>
      <c r="D71" t="s">
        <v>5</v>
      </c>
      <c r="E71" t="s">
        <v>41</v>
      </c>
      <c r="F71" t="s">
        <v>6</v>
      </c>
      <c r="G71" t="s">
        <v>2</v>
      </c>
      <c r="H71" s="2">
        <f t="shared" si="1"/>
        <v>8.2430006020662291E-2</v>
      </c>
      <c r="J71" s="1">
        <v>9.7308622107391843E-2</v>
      </c>
      <c r="K71">
        <v>0</v>
      </c>
    </row>
    <row r="72" spans="1:11" x14ac:dyDescent="0.25">
      <c r="A72" t="s">
        <v>4</v>
      </c>
      <c r="B72" t="s">
        <v>15</v>
      </c>
      <c r="C72" t="s">
        <v>72</v>
      </c>
      <c r="D72" t="s">
        <v>5</v>
      </c>
      <c r="E72" t="s">
        <v>42</v>
      </c>
      <c r="F72" t="s">
        <v>6</v>
      </c>
      <c r="G72" t="s">
        <v>2</v>
      </c>
      <c r="H72" s="2">
        <f t="shared" si="1"/>
        <v>0.75296752043785287</v>
      </c>
      <c r="J72" s="1">
        <v>0.88887815787688529</v>
      </c>
      <c r="K72">
        <v>0</v>
      </c>
    </row>
    <row r="73" spans="1:11" x14ac:dyDescent="0.25">
      <c r="A73" t="s">
        <v>4</v>
      </c>
      <c r="B73" t="s">
        <v>15</v>
      </c>
      <c r="C73" t="s">
        <v>72</v>
      </c>
      <c r="D73" t="s">
        <v>5</v>
      </c>
      <c r="E73" t="s">
        <v>43</v>
      </c>
      <c r="F73" t="s">
        <v>6</v>
      </c>
      <c r="G73" t="s">
        <v>2</v>
      </c>
      <c r="H73" s="2">
        <f t="shared" si="1"/>
        <v>0</v>
      </c>
      <c r="J73" s="1">
        <v>0</v>
      </c>
      <c r="K73">
        <v>0</v>
      </c>
    </row>
    <row r="74" spans="1:11" x14ac:dyDescent="0.25">
      <c r="A74" t="s">
        <v>4</v>
      </c>
      <c r="B74" t="s">
        <v>15</v>
      </c>
      <c r="C74" t="s">
        <v>72</v>
      </c>
      <c r="D74" t="s">
        <v>5</v>
      </c>
      <c r="E74" t="s">
        <v>44</v>
      </c>
      <c r="F74" t="s">
        <v>6</v>
      </c>
      <c r="G74" t="s">
        <v>2</v>
      </c>
      <c r="H74" s="2">
        <f t="shared" si="1"/>
        <v>5.8156445783460136</v>
      </c>
      <c r="J74" s="1">
        <v>6.8653684247374684</v>
      </c>
      <c r="K74">
        <v>0</v>
      </c>
    </row>
    <row r="75" spans="1:11" x14ac:dyDescent="0.25">
      <c r="A75" t="s">
        <v>4</v>
      </c>
      <c r="B75" t="s">
        <v>15</v>
      </c>
      <c r="C75" t="s">
        <v>72</v>
      </c>
      <c r="D75" t="s">
        <v>5</v>
      </c>
      <c r="E75" t="s">
        <v>46</v>
      </c>
      <c r="F75" t="s">
        <v>6</v>
      </c>
      <c r="G75" t="s">
        <v>2</v>
      </c>
      <c r="H75" s="2">
        <f t="shared" si="1"/>
        <v>8.0337500702341066E-2</v>
      </c>
      <c r="J75" s="1">
        <v>9.4838419579113625E-2</v>
      </c>
      <c r="K75">
        <v>0</v>
      </c>
    </row>
    <row r="76" spans="1:11" x14ac:dyDescent="0.25">
      <c r="A76" t="s">
        <v>4</v>
      </c>
      <c r="B76" t="s">
        <v>15</v>
      </c>
      <c r="C76" t="s">
        <v>72</v>
      </c>
      <c r="D76" t="s">
        <v>5</v>
      </c>
      <c r="E76" t="s">
        <v>47</v>
      </c>
      <c r="F76" t="s">
        <v>6</v>
      </c>
      <c r="G76" t="s">
        <v>2</v>
      </c>
      <c r="H76" s="2">
        <f t="shared" si="1"/>
        <v>0.52202658476895547</v>
      </c>
      <c r="J76" s="1">
        <v>0.61625238331975196</v>
      </c>
      <c r="K76">
        <v>0</v>
      </c>
    </row>
    <row r="77" spans="1:11" x14ac:dyDescent="0.25">
      <c r="A77" t="s">
        <v>4</v>
      </c>
      <c r="B77" t="s">
        <v>15</v>
      </c>
      <c r="C77" t="s">
        <v>72</v>
      </c>
      <c r="D77" t="s">
        <v>5</v>
      </c>
      <c r="E77" t="s">
        <v>48</v>
      </c>
      <c r="F77" t="s">
        <v>6</v>
      </c>
      <c r="G77" t="s">
        <v>2</v>
      </c>
      <c r="H77" s="2">
        <f t="shared" si="1"/>
        <v>0.15879475498336568</v>
      </c>
      <c r="J77" s="1">
        <v>0.18745720825786316</v>
      </c>
      <c r="K77">
        <v>0</v>
      </c>
    </row>
    <row r="78" spans="1:11" x14ac:dyDescent="0.25">
      <c r="A78" t="s">
        <v>4</v>
      </c>
      <c r="B78" t="s">
        <v>15</v>
      </c>
      <c r="C78" t="s">
        <v>72</v>
      </c>
      <c r="D78" t="s">
        <v>5</v>
      </c>
      <c r="E78" t="s">
        <v>49</v>
      </c>
      <c r="F78" t="s">
        <v>6</v>
      </c>
      <c r="G78" t="s">
        <v>2</v>
      </c>
      <c r="H78" s="2">
        <f t="shared" si="1"/>
        <v>1.7300901851074808</v>
      </c>
      <c r="J78" s="1">
        <v>2.0423714635193808</v>
      </c>
      <c r="K78">
        <v>0</v>
      </c>
    </row>
    <row r="79" spans="1:11" x14ac:dyDescent="0.25">
      <c r="A79" t="s">
        <v>4</v>
      </c>
      <c r="B79" t="s">
        <v>15</v>
      </c>
      <c r="C79" t="s">
        <v>72</v>
      </c>
      <c r="D79" t="s">
        <v>5</v>
      </c>
      <c r="E79" t="s">
        <v>50</v>
      </c>
      <c r="F79" t="s">
        <v>6</v>
      </c>
      <c r="G79" t="s">
        <v>2</v>
      </c>
      <c r="H79" s="2">
        <f t="shared" si="1"/>
        <v>4.5353196646040431E-3</v>
      </c>
      <c r="J79" s="1">
        <v>5.3539448640650723E-3</v>
      </c>
      <c r="K79">
        <v>0</v>
      </c>
    </row>
    <row r="80" spans="1:11" x14ac:dyDescent="0.25">
      <c r="A80" t="s">
        <v>4</v>
      </c>
      <c r="B80" t="s">
        <v>15</v>
      </c>
      <c r="C80" t="s">
        <v>72</v>
      </c>
      <c r="D80" t="s">
        <v>5</v>
      </c>
      <c r="E80" t="s">
        <v>51</v>
      </c>
      <c r="F80" t="s">
        <v>6</v>
      </c>
      <c r="G80" t="s">
        <v>2</v>
      </c>
      <c r="H80" s="2">
        <f t="shared" si="1"/>
        <v>0.20837254027460744</v>
      </c>
      <c r="J80" s="1">
        <v>0.24598378379417407</v>
      </c>
      <c r="K80">
        <v>0</v>
      </c>
    </row>
    <row r="81" spans="1:11" x14ac:dyDescent="0.25">
      <c r="A81" t="s">
        <v>4</v>
      </c>
      <c r="B81" t="s">
        <v>15</v>
      </c>
      <c r="C81" t="s">
        <v>72</v>
      </c>
      <c r="D81" t="s">
        <v>5</v>
      </c>
      <c r="E81" t="s">
        <v>52</v>
      </c>
      <c r="F81" t="s">
        <v>6</v>
      </c>
      <c r="G81" t="s">
        <v>2</v>
      </c>
      <c r="H81" s="2">
        <f t="shared" si="1"/>
        <v>2.3517194482743583E-2</v>
      </c>
      <c r="J81" s="1">
        <v>2.77620480868788E-2</v>
      </c>
      <c r="K81">
        <v>0</v>
      </c>
    </row>
    <row r="82" spans="1:11" x14ac:dyDescent="0.25">
      <c r="A82" t="s">
        <v>4</v>
      </c>
      <c r="B82" t="s">
        <v>15</v>
      </c>
      <c r="C82" t="s">
        <v>72</v>
      </c>
      <c r="D82" t="s">
        <v>5</v>
      </c>
      <c r="E82" t="s">
        <v>53</v>
      </c>
      <c r="F82" t="s">
        <v>6</v>
      </c>
      <c r="G82" t="s">
        <v>2</v>
      </c>
      <c r="H82" s="2">
        <f t="shared" si="1"/>
        <v>7.2527282713718694E-2</v>
      </c>
      <c r="J82" s="1">
        <v>8.5618457243544915E-2</v>
      </c>
      <c r="K82">
        <v>0</v>
      </c>
    </row>
    <row r="83" spans="1:11" x14ac:dyDescent="0.25">
      <c r="A83" t="s">
        <v>4</v>
      </c>
      <c r="B83" t="s">
        <v>15</v>
      </c>
      <c r="C83" t="s">
        <v>72</v>
      </c>
      <c r="D83" t="s">
        <v>5</v>
      </c>
      <c r="E83" t="s">
        <v>54</v>
      </c>
      <c r="F83" t="s">
        <v>6</v>
      </c>
      <c r="G83" t="s">
        <v>2</v>
      </c>
      <c r="H83" s="2">
        <f t="shared" si="1"/>
        <v>1.8596825902150624</v>
      </c>
      <c r="J83" s="1">
        <v>2.1953552977488813</v>
      </c>
      <c r="K83">
        <v>0</v>
      </c>
    </row>
    <row r="84" spans="1:11" x14ac:dyDescent="0.25">
      <c r="A84" t="s">
        <v>4</v>
      </c>
      <c r="B84" t="s">
        <v>15</v>
      </c>
      <c r="C84" t="s">
        <v>72</v>
      </c>
      <c r="D84" t="s">
        <v>5</v>
      </c>
      <c r="E84" t="s">
        <v>55</v>
      </c>
      <c r="F84" t="s">
        <v>6</v>
      </c>
      <c r="G84" t="s">
        <v>2</v>
      </c>
      <c r="H84" s="2">
        <f t="shared" si="1"/>
        <v>0</v>
      </c>
      <c r="J84" s="1">
        <v>0</v>
      </c>
      <c r="K84">
        <v>0</v>
      </c>
    </row>
    <row r="85" spans="1:11" x14ac:dyDescent="0.25">
      <c r="A85" t="s">
        <v>4</v>
      </c>
      <c r="B85" t="s">
        <v>15</v>
      </c>
      <c r="C85" t="s">
        <v>72</v>
      </c>
      <c r="D85" t="s">
        <v>5</v>
      </c>
      <c r="E85" t="s">
        <v>56</v>
      </c>
      <c r="F85" t="s">
        <v>6</v>
      </c>
      <c r="G85" t="s">
        <v>2</v>
      </c>
      <c r="H85" s="2">
        <f t="shared" si="1"/>
        <v>5.6193769610760898E-2</v>
      </c>
      <c r="J85" s="1">
        <v>6.6336745025503241E-2</v>
      </c>
      <c r="K85">
        <v>0</v>
      </c>
    </row>
    <row r="86" spans="1:11" x14ac:dyDescent="0.25">
      <c r="A86" t="s">
        <v>4</v>
      </c>
      <c r="B86" t="s">
        <v>15</v>
      </c>
      <c r="C86" t="s">
        <v>72</v>
      </c>
      <c r="D86" t="s">
        <v>5</v>
      </c>
      <c r="E86" t="s">
        <v>57</v>
      </c>
      <c r="F86" t="s">
        <v>6</v>
      </c>
      <c r="G86" t="s">
        <v>2</v>
      </c>
      <c r="H86" s="2">
        <f t="shared" si="1"/>
        <v>0.62315482624448892</v>
      </c>
      <c r="J86" s="1">
        <v>0.73563427238161927</v>
      </c>
      <c r="K86">
        <v>0</v>
      </c>
    </row>
    <row r="87" spans="1:11" x14ac:dyDescent="0.25">
      <c r="A87" t="s">
        <v>4</v>
      </c>
      <c r="B87" t="s">
        <v>15</v>
      </c>
      <c r="C87" t="s">
        <v>72</v>
      </c>
      <c r="D87" t="s">
        <v>5</v>
      </c>
      <c r="E87" t="s">
        <v>58</v>
      </c>
      <c r="F87" t="s">
        <v>6</v>
      </c>
      <c r="G87" t="s">
        <v>2</v>
      </c>
      <c r="H87" s="2">
        <f t="shared" si="1"/>
        <v>1.2024265260418203</v>
      </c>
      <c r="J87" s="1">
        <v>1.4194645139923689</v>
      </c>
      <c r="K87">
        <v>0</v>
      </c>
    </row>
    <row r="88" spans="1:11" x14ac:dyDescent="0.25">
      <c r="A88" t="s">
        <v>4</v>
      </c>
      <c r="B88" t="s">
        <v>15</v>
      </c>
      <c r="C88" t="s">
        <v>72</v>
      </c>
      <c r="D88" t="s">
        <v>5</v>
      </c>
      <c r="E88" t="s">
        <v>59</v>
      </c>
      <c r="F88" t="s">
        <v>6</v>
      </c>
      <c r="G88" t="s">
        <v>2</v>
      </c>
      <c r="H88" s="2">
        <f t="shared" si="1"/>
        <v>0</v>
      </c>
      <c r="J88" s="1">
        <v>0</v>
      </c>
      <c r="K88">
        <v>0</v>
      </c>
    </row>
    <row r="89" spans="1:11" x14ac:dyDescent="0.25">
      <c r="A89" t="s">
        <v>4</v>
      </c>
      <c r="B89" t="s">
        <v>15</v>
      </c>
      <c r="C89" t="s">
        <v>72</v>
      </c>
      <c r="D89" t="s">
        <v>5</v>
      </c>
      <c r="E89" t="s">
        <v>60</v>
      </c>
      <c r="F89" t="s">
        <v>6</v>
      </c>
      <c r="G89" t="s">
        <v>2</v>
      </c>
      <c r="H89" s="2">
        <f t="shared" si="1"/>
        <v>5.5050172511431532E-3</v>
      </c>
      <c r="J89" s="1">
        <v>6.4986728649744927E-3</v>
      </c>
      <c r="K89">
        <v>0</v>
      </c>
    </row>
    <row r="90" spans="1:11" x14ac:dyDescent="0.25">
      <c r="A90" t="s">
        <v>4</v>
      </c>
      <c r="B90" t="s">
        <v>15</v>
      </c>
      <c r="C90" t="s">
        <v>72</v>
      </c>
      <c r="D90" t="s">
        <v>5</v>
      </c>
      <c r="E90" t="s">
        <v>61</v>
      </c>
      <c r="F90" t="s">
        <v>6</v>
      </c>
      <c r="G90" t="s">
        <v>2</v>
      </c>
      <c r="H90" s="2">
        <f t="shared" si="1"/>
        <v>0</v>
      </c>
      <c r="J90" s="1">
        <v>0</v>
      </c>
      <c r="K90">
        <v>0</v>
      </c>
    </row>
    <row r="91" spans="1:11" x14ac:dyDescent="0.25">
      <c r="A91" t="s">
        <v>4</v>
      </c>
      <c r="B91" t="s">
        <v>15</v>
      </c>
      <c r="C91" t="s">
        <v>72</v>
      </c>
      <c r="D91" t="s">
        <v>5</v>
      </c>
      <c r="E91" t="s">
        <v>62</v>
      </c>
      <c r="F91" t="s">
        <v>6</v>
      </c>
      <c r="G91" t="s">
        <v>2</v>
      </c>
      <c r="H91" s="2">
        <f t="shared" si="1"/>
        <v>0.70916406738907067</v>
      </c>
      <c r="J91" s="1">
        <v>0.83716818155279793</v>
      </c>
      <c r="K9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L8" sqref="L8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20.7109375" bestFit="1" customWidth="1"/>
    <col min="5" max="5" width="11.7109375" bestFit="1" customWidth="1"/>
    <col min="6" max="6" width="22.7109375" bestFit="1" customWidth="1"/>
    <col min="7" max="7" width="6" bestFit="1" customWidth="1"/>
    <col min="8" max="8" width="4" bestFit="1" customWidth="1"/>
    <col min="10" max="10" width="5" bestFit="1" customWidth="1"/>
  </cols>
  <sheetData>
    <row r="1" spans="1:14" x14ac:dyDescent="0.25">
      <c r="A1" s="4" t="s">
        <v>24</v>
      </c>
      <c r="B1" s="4" t="s">
        <v>9</v>
      </c>
      <c r="C1" s="4" t="s">
        <v>8</v>
      </c>
      <c r="D1" s="4" t="s">
        <v>25</v>
      </c>
      <c r="E1" s="4" t="s">
        <v>26</v>
      </c>
      <c r="F1" s="4" t="s">
        <v>0</v>
      </c>
      <c r="G1" s="4" t="s">
        <v>1</v>
      </c>
      <c r="H1" s="4" t="s">
        <v>3</v>
      </c>
      <c r="J1" t="s">
        <v>18</v>
      </c>
      <c r="K1" s="4" t="s">
        <v>20</v>
      </c>
    </row>
    <row r="2" spans="1:14" x14ac:dyDescent="0.25">
      <c r="A2" t="s">
        <v>21</v>
      </c>
      <c r="B2" t="s">
        <v>4</v>
      </c>
      <c r="C2" t="s">
        <v>5</v>
      </c>
      <c r="D2" t="s">
        <v>22</v>
      </c>
      <c r="E2" t="s">
        <v>11</v>
      </c>
      <c r="F2" t="s">
        <v>23</v>
      </c>
      <c r="G2" t="s">
        <v>2</v>
      </c>
      <c r="H2" s="5">
        <f>(J2*AVERAGE(CattleHerd!O4:O5)+K2*AVERAGE(CattleHerd!P4:P5))/AVERAGE(CattleHerd!Q4:Q5)</f>
        <v>32.373364621430575</v>
      </c>
      <c r="J2" s="3">
        <v>20</v>
      </c>
      <c r="K2">
        <v>100</v>
      </c>
      <c r="L2" t="s">
        <v>65</v>
      </c>
      <c r="N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CattleHerd</vt:lpstr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2024-09-24T11:21:58Z</dcterms:modified>
</cp:coreProperties>
</file>