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4" l="1"/>
  <c r="H2" i="5"/>
  <c r="G15" i="4"/>
  <c r="G3" i="4"/>
  <c r="G2" i="4"/>
  <c r="G6" i="4"/>
  <c r="G5" i="4"/>
  <c r="P5" i="4"/>
  <c r="P4" i="4"/>
  <c r="N5" i="4"/>
  <c r="G8" i="4"/>
  <c r="N4" i="4"/>
  <c r="G11" i="4"/>
  <c r="G52" i="4" l="1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4" i="4"/>
</calcChain>
</file>

<file path=xl/sharedStrings.xml><?xml version="1.0" encoding="utf-8"?>
<sst xmlns="http://schemas.openxmlformats.org/spreadsheetml/2006/main" count="267" uniqueCount="73">
  <si>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</si>
  <si>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</si>
  <si>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</si>
  <si>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</si>
  <si>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</si>
  <si>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</si>
  <si>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</si>
  <si>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</si>
  <si>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</si>
  <si>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</si>
  <si>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ley silage, regrowth</t>
  </si>
  <si>
    <t>grazing</t>
  </si>
  <si>
    <t>milk_prod</t>
  </si>
  <si>
    <t>ley silage, 1st cut</t>
  </si>
  <si>
    <t>f_prod_system</t>
  </si>
  <si>
    <t>conventional</t>
  </si>
  <si>
    <t>organic</t>
  </si>
  <si>
    <t>calving_interval</t>
  </si>
  <si>
    <t>orig.</t>
  </si>
  <si>
    <t>recruitment_rate</t>
  </si>
  <si>
    <t>ret.</t>
  </si>
  <si>
    <t>cattle</t>
  </si>
  <si>
    <t>Semi-natural pastures</t>
  </si>
  <si>
    <t>max_crop_in_crop_prod</t>
  </si>
  <si>
    <t>f_species</t>
  </si>
  <si>
    <t>f_crop_group</t>
  </si>
  <si>
    <t>f_crop_prod</t>
  </si>
  <si>
    <t>other silage</t>
  </si>
  <si>
    <t>maize silage</t>
  </si>
  <si>
    <t>straw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</si>
  <si>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</si>
  <si>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</si>
  <si>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</si>
  <si>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</si>
  <si>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</si>
  <si>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</si>
  <si>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</si>
  <si>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</si>
  <si>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</si>
  <si>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</si>
  <si>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</si>
  <si>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soybeans</t>
  </si>
  <si>
    <t>soybean meal</t>
  </si>
  <si>
    <t>soybean protein concentrate</t>
  </si>
  <si>
    <t>rapeseed meal</t>
  </si>
  <si>
    <t>rapeseed cake</t>
  </si>
  <si>
    <t>sunflower seed meal</t>
  </si>
  <si>
    <t>palm kernel expeller</t>
  </si>
  <si>
    <t>luzern meal</t>
  </si>
  <si>
    <t>wheat bran</t>
  </si>
  <si>
    <t>wheat bran, fine</t>
  </si>
  <si>
    <t>oat hulls</t>
  </si>
  <si>
    <t>oat bran</t>
  </si>
  <si>
    <t>rye bran</t>
  </si>
  <si>
    <t>wheat distillers grain, dry</t>
  </si>
  <si>
    <t>barley brewers grain</t>
  </si>
  <si>
    <t>maize gluten meal</t>
  </si>
  <si>
    <t>sugar beet molasses</t>
  </si>
  <si>
    <t>sugar beet pulp</t>
  </si>
  <si>
    <t>whey powder</t>
  </si>
  <si>
    <t>potatoe protein</t>
  </si>
  <si>
    <t>fish meal</t>
  </si>
  <si>
    <t>minerals</t>
  </si>
  <si>
    <t>live_weight</t>
  </si>
  <si>
    <t>kg</t>
  </si>
  <si>
    <t>%</t>
  </si>
  <si>
    <t>months</t>
  </si>
  <si>
    <t>kg/cow/year</t>
  </si>
  <si>
    <t>% of DM</t>
  </si>
  <si>
    <t>Feed ration</t>
  </si>
  <si>
    <t>Assumes that 100% semi-natural grassland grazing possible when retired</t>
  </si>
  <si>
    <t>Months as dairy cow</t>
  </si>
  <si>
    <t>tot.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</si>
</sst>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1" fontId="2" fillId="0" borderId="0" xfId="0" applyNumberFormat="1" applyFont="1"/>
    <xf numFmtId="0" fontId="0" fillId="2" borderId="0" xfId="0" applyFill="1"/>
    <xf numFmtId="0" fontId="1" fillId="2" borderId="0" xfId="0" applyFont="1" applyFill="1"/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workbookViewId="0">
      <selection activeCell="N11" sqref="N11"/>
    </sheetView>
  </sheetViews>
  <sheetFormatPr defaultRowHeight="15" x14ac:dyDescent="0.25"/>
  <cols>
    <col min="1" max="1" width="8" bestFit="1" customWidth="1"/>
    <col min="2" max="2" width="14.28515625" bestFit="1" customWidth="1"/>
    <col min="4" max="4" width="18.7109375" bestFit="1" customWidth="1"/>
    <col min="5" max="5" width="16.28515625" bestFit="1" customWidth="1"/>
    <col min="6" max="6" width="6" bestFit="1" customWidth="1"/>
    <col min="7" max="7" width="8" bestFit="1" customWidth="1"/>
  </cols>
  <sheetData>
    <row r="1" spans="1:16" x14ac:dyDescent="0.25">
      <c r="A1" s="4" t="s">
        <v>9</v>
      </c>
      <c r="B1" s="4" t="s">
        <v>14</v>
      </c>
      <c r="C1" s="4" t="s">
        <v>8</v>
      </c>
      <c r="D1" s="4" t="s">
        <v>7</v>
      </c>
      <c r="E1" s="4" t="s">
        <v>0</v>
      </c>
      <c r="F1" s="4" t="s">
        <v>1</v>
      </c>
      <c r="G1" s="4" t="s">
        <v>3</v>
      </c>
      <c r="I1" t="s">
        <v>18</v>
      </c>
      <c r="J1" t="s">
        <v>20</v>
      </c>
    </row>
    <row r="2" spans="1:16" x14ac:dyDescent="0.25">
      <c r="A2" t="s">
        <v>4</v>
      </c>
      <c r="B2" t="s">
        <v>15</v>
      </c>
      <c r="E2" t="s">
        <v>12</v>
      </c>
      <c r="F2" t="s">
        <v>2</v>
      </c>
      <c r="G2" s="5">
        <f>(I2*N4+J2*O4)/P4</f>
        <v>8456.6849430619986</v>
      </c>
      <c r="I2" s="5">
        <v>10025.4</v>
      </c>
      <c r="J2">
        <v>0</v>
      </c>
      <c r="K2" t="s">
        <v>67</v>
      </c>
      <c r="M2" s="10" t="s">
        <v>71</v>
      </c>
      <c r="N2" s="9"/>
      <c r="O2" s="9"/>
      <c r="P2" s="9"/>
    </row>
    <row r="3" spans="1:16" x14ac:dyDescent="0.25">
      <c r="A3" t="s">
        <v>4</v>
      </c>
      <c r="B3" t="s">
        <v>16</v>
      </c>
      <c r="E3" t="s">
        <v>12</v>
      </c>
      <c r="F3" t="s">
        <v>2</v>
      </c>
      <c r="G3" s="5">
        <f>(I3*N5+J3*O5)/P5</f>
        <v>7934.942820838628</v>
      </c>
      <c r="I3" s="5">
        <v>9367.2000000000007</v>
      </c>
      <c r="J3">
        <v>0</v>
      </c>
      <c r="K3" t="s">
        <v>67</v>
      </c>
      <c r="M3" s="9"/>
      <c r="N3" s="11" t="s">
        <v>18</v>
      </c>
      <c r="O3" s="11" t="s">
        <v>20</v>
      </c>
      <c r="P3" s="11" t="s">
        <v>72</v>
      </c>
    </row>
    <row r="4" spans="1:16" x14ac:dyDescent="0.25">
      <c r="M4" s="9" t="s">
        <v>15</v>
      </c>
      <c r="N4" s="12">
        <f>12/(I8/100)</f>
        <v>32.345013477088948</v>
      </c>
      <c r="O4" s="11">
        <v>6</v>
      </c>
      <c r="P4" s="12">
        <f>N4+O4</f>
        <v>38.345013477088948</v>
      </c>
    </row>
    <row r="5" spans="1:16" x14ac:dyDescent="0.25">
      <c r="A5" t="s">
        <v>4</v>
      </c>
      <c r="B5" t="s">
        <v>15</v>
      </c>
      <c r="E5" t="s">
        <v>17</v>
      </c>
      <c r="F5" t="s">
        <v>2</v>
      </c>
      <c r="G5" s="1">
        <f>1/(1/I5*N4/P4)</f>
        <v>15.648599999999998</v>
      </c>
      <c r="I5">
        <v>13.2</v>
      </c>
      <c r="K5" t="s">
        <v>66</v>
      </c>
      <c r="M5" s="9" t="s">
        <v>16</v>
      </c>
      <c r="N5" s="12">
        <f>12/(I9/100)</f>
        <v>33.2409972299169</v>
      </c>
      <c r="O5" s="11">
        <v>6</v>
      </c>
      <c r="P5" s="12">
        <f>N5+O5</f>
        <v>39.2409972299169</v>
      </c>
    </row>
    <row r="6" spans="1:16" x14ac:dyDescent="0.25">
      <c r="A6" t="s">
        <v>4</v>
      </c>
      <c r="B6" t="s">
        <v>16</v>
      </c>
      <c r="E6" t="s">
        <v>17</v>
      </c>
      <c r="F6" t="s">
        <v>2</v>
      </c>
      <c r="G6" s="1">
        <f>1/(1/I6*N5/P5)</f>
        <v>15.22845</v>
      </c>
      <c r="I6">
        <v>12.9</v>
      </c>
      <c r="K6" t="s">
        <v>66</v>
      </c>
    </row>
    <row r="8" spans="1:16" x14ac:dyDescent="0.25">
      <c r="A8" t="s">
        <v>4</v>
      </c>
      <c r="B8" t="s">
        <v>15</v>
      </c>
      <c r="E8" t="s">
        <v>19</v>
      </c>
      <c r="F8" t="s">
        <v>2</v>
      </c>
      <c r="G8" s="1">
        <f>12/P4*100</f>
        <v>31.294812315478705</v>
      </c>
      <c r="I8">
        <v>37.1</v>
      </c>
      <c r="K8" t="s">
        <v>65</v>
      </c>
    </row>
    <row r="9" spans="1:16" x14ac:dyDescent="0.25">
      <c r="A9" t="s">
        <v>4</v>
      </c>
      <c r="B9" t="s">
        <v>16</v>
      </c>
      <c r="E9" t="s">
        <v>19</v>
      </c>
      <c r="F9" t="s">
        <v>2</v>
      </c>
      <c r="G9" s="1">
        <f>12/P5*100</f>
        <v>30.580262600592967</v>
      </c>
      <c r="I9">
        <v>36.1</v>
      </c>
      <c r="K9" t="s">
        <v>65</v>
      </c>
    </row>
    <row r="11" spans="1:16" x14ac:dyDescent="0.25">
      <c r="A11" t="s">
        <v>4</v>
      </c>
      <c r="B11" s="6"/>
      <c r="C11" s="3" t="s">
        <v>5</v>
      </c>
      <c r="E11" s="3" t="s">
        <v>63</v>
      </c>
      <c r="F11" s="3"/>
      <c r="G11" s="8">
        <f>I11</f>
        <v>651.52821361702138</v>
      </c>
      <c r="H11" s="3"/>
      <c r="I11" s="5">
        <v>651.52821361702138</v>
      </c>
      <c r="J11" s="5"/>
      <c r="K11" t="s">
        <v>64</v>
      </c>
      <c r="L11" s="7"/>
    </row>
    <row r="12" spans="1:16" x14ac:dyDescent="0.25">
      <c r="B12" s="6"/>
      <c r="C12" s="6"/>
      <c r="D12" s="3"/>
      <c r="E12" s="3"/>
      <c r="F12" s="3"/>
      <c r="G12" s="3"/>
      <c r="H12" s="3"/>
      <c r="I12" s="3"/>
      <c r="J12" s="5"/>
      <c r="L12" s="7"/>
    </row>
    <row r="13" spans="1:16" x14ac:dyDescent="0.25">
      <c r="A13" s="6" t="s">
        <v>69</v>
      </c>
      <c r="B13" s="6"/>
      <c r="C13" s="6"/>
      <c r="D13" s="3"/>
      <c r="E13" s="3"/>
      <c r="F13" s="3"/>
      <c r="G13" s="3"/>
      <c r="H13" s="3"/>
      <c r="I13" s="3"/>
      <c r="J13" s="5"/>
      <c r="L13" s="7"/>
    </row>
    <row r="14" spans="1:16" x14ac:dyDescent="0.25">
      <c r="A14" t="s">
        <v>4</v>
      </c>
      <c r="C14" t="s">
        <v>5</v>
      </c>
      <c r="D14" t="s">
        <v>13</v>
      </c>
      <c r="E14" s="1" t="s">
        <v>6</v>
      </c>
      <c r="F14" t="s">
        <v>2</v>
      </c>
      <c r="G14" s="2">
        <f>I14*(3/3.5)+J14*(0.5/3.5)</f>
        <v>35.555016290829087</v>
      </c>
      <c r="H14" s="1"/>
      <c r="I14" s="1">
        <v>41.480852339300604</v>
      </c>
      <c r="J14">
        <v>0</v>
      </c>
      <c r="K14" t="s">
        <v>68</v>
      </c>
    </row>
    <row r="15" spans="1:16" x14ac:dyDescent="0.25">
      <c r="A15" t="s">
        <v>4</v>
      </c>
      <c r="C15" t="s">
        <v>5</v>
      </c>
      <c r="D15" t="s">
        <v>10</v>
      </c>
      <c r="E15" s="1" t="s">
        <v>6</v>
      </c>
      <c r="F15" t="s">
        <v>2</v>
      </c>
      <c r="G15" s="2">
        <f>I15*(3/3.5)+J15*(0.5/3.5)</f>
        <v>11.364042929753165</v>
      </c>
      <c r="H15" s="1"/>
      <c r="I15" s="1">
        <v>9.9247167513786927</v>
      </c>
      <c r="J15">
        <v>20</v>
      </c>
    </row>
    <row r="16" spans="1:16" x14ac:dyDescent="0.25">
      <c r="A16" t="s">
        <v>4</v>
      </c>
      <c r="C16" t="s">
        <v>5</v>
      </c>
      <c r="D16" t="s">
        <v>27</v>
      </c>
      <c r="E16" s="1" t="s">
        <v>6</v>
      </c>
      <c r="F16" t="s">
        <v>2</v>
      </c>
      <c r="G16" s="2">
        <f t="shared" ref="G16:G52" si="0">I16*(3/3.5)+J16*(0.5/3.5)</f>
        <v>0</v>
      </c>
      <c r="H16" s="1"/>
      <c r="I16" s="1">
        <v>0</v>
      </c>
      <c r="J16">
        <v>0</v>
      </c>
    </row>
    <row r="17" spans="1:10" x14ac:dyDescent="0.25">
      <c r="A17" t="s">
        <v>4</v>
      </c>
      <c r="C17" t="s">
        <v>5</v>
      </c>
      <c r="D17" t="s">
        <v>28</v>
      </c>
      <c r="E17" t="s">
        <v>6</v>
      </c>
      <c r="F17" t="s">
        <v>2</v>
      </c>
      <c r="G17" s="2">
        <f t="shared" si="0"/>
        <v>0</v>
      </c>
      <c r="I17" s="1">
        <v>0</v>
      </c>
      <c r="J17">
        <v>0</v>
      </c>
    </row>
    <row r="18" spans="1:10" x14ac:dyDescent="0.25">
      <c r="A18" t="s">
        <v>4</v>
      </c>
      <c r="C18" t="s">
        <v>5</v>
      </c>
      <c r="D18" t="s">
        <v>29</v>
      </c>
      <c r="E18" t="s">
        <v>6</v>
      </c>
      <c r="F18" t="s">
        <v>2</v>
      </c>
      <c r="G18" s="2">
        <f t="shared" si="0"/>
        <v>2.7154061558051201</v>
      </c>
      <c r="I18" s="1">
        <v>3.1679738484393072</v>
      </c>
      <c r="J18">
        <v>0</v>
      </c>
    </row>
    <row r="19" spans="1:10" x14ac:dyDescent="0.25">
      <c r="A19" t="s">
        <v>4</v>
      </c>
      <c r="C19" t="s">
        <v>5</v>
      </c>
      <c r="D19" t="s">
        <v>11</v>
      </c>
      <c r="E19" t="s">
        <v>6</v>
      </c>
      <c r="F19" t="s">
        <v>2</v>
      </c>
      <c r="G19" s="2">
        <f t="shared" si="0"/>
        <v>17.092530293313295</v>
      </c>
      <c r="I19" s="1">
        <v>6.6079520088655128</v>
      </c>
      <c r="J19">
        <v>80</v>
      </c>
    </row>
    <row r="20" spans="1:10" x14ac:dyDescent="0.25">
      <c r="A20" t="s">
        <v>4</v>
      </c>
      <c r="C20" t="s">
        <v>5</v>
      </c>
      <c r="D20" t="s">
        <v>30</v>
      </c>
      <c r="E20" t="s">
        <v>6</v>
      </c>
      <c r="F20" t="s">
        <v>2</v>
      </c>
      <c r="G20" s="2">
        <f t="shared" si="0"/>
        <v>5.2712050174774152</v>
      </c>
      <c r="I20" s="1">
        <v>6.1497391870569844</v>
      </c>
      <c r="J20">
        <v>0</v>
      </c>
    </row>
    <row r="21" spans="1:10" x14ac:dyDescent="0.25">
      <c r="A21" t="s">
        <v>4</v>
      </c>
      <c r="C21" t="s">
        <v>5</v>
      </c>
      <c r="D21" t="s">
        <v>31</v>
      </c>
      <c r="E21" t="s">
        <v>6</v>
      </c>
      <c r="F21" t="s">
        <v>2</v>
      </c>
      <c r="G21" s="2">
        <f t="shared" si="0"/>
        <v>9.6776623371349899</v>
      </c>
      <c r="I21" s="1">
        <v>11.290606059990822</v>
      </c>
      <c r="J21">
        <v>0</v>
      </c>
    </row>
    <row r="22" spans="1:10" x14ac:dyDescent="0.25">
      <c r="A22" t="s">
        <v>4</v>
      </c>
      <c r="C22" t="s">
        <v>5</v>
      </c>
      <c r="D22" t="s">
        <v>32</v>
      </c>
      <c r="E22" t="s">
        <v>6</v>
      </c>
      <c r="F22" t="s">
        <v>2</v>
      </c>
      <c r="G22" s="2">
        <f t="shared" si="0"/>
        <v>2.1690852931596871</v>
      </c>
      <c r="I22" s="1">
        <v>2.5305995086863016</v>
      </c>
      <c r="J22">
        <v>0</v>
      </c>
    </row>
    <row r="23" spans="1:10" x14ac:dyDescent="0.25">
      <c r="A23" t="s">
        <v>4</v>
      </c>
      <c r="C23" t="s">
        <v>5</v>
      </c>
      <c r="D23" t="s">
        <v>33</v>
      </c>
      <c r="E23" t="s">
        <v>6</v>
      </c>
      <c r="F23" t="s">
        <v>2</v>
      </c>
      <c r="G23" s="2">
        <f t="shared" si="0"/>
        <v>3.4025470831781122</v>
      </c>
      <c r="I23" s="1">
        <v>3.9696382637077976</v>
      </c>
      <c r="J23">
        <v>0</v>
      </c>
    </row>
    <row r="24" spans="1:10" x14ac:dyDescent="0.25">
      <c r="A24" t="s">
        <v>4</v>
      </c>
      <c r="C24" t="s">
        <v>5</v>
      </c>
      <c r="D24" t="s">
        <v>34</v>
      </c>
      <c r="E24" t="s">
        <v>6</v>
      </c>
      <c r="F24" t="s">
        <v>2</v>
      </c>
      <c r="G24" s="2">
        <f t="shared" si="0"/>
        <v>9.6622474974925859E-3</v>
      </c>
      <c r="I24" s="1">
        <v>1.1272622080408017E-2</v>
      </c>
      <c r="J24">
        <v>0</v>
      </c>
    </row>
    <row r="25" spans="1:10" x14ac:dyDescent="0.25">
      <c r="A25" t="s">
        <v>4</v>
      </c>
      <c r="C25" t="s">
        <v>5</v>
      </c>
      <c r="D25" t="s">
        <v>35</v>
      </c>
      <c r="E25" t="s">
        <v>6</v>
      </c>
      <c r="F25" t="s">
        <v>2</v>
      </c>
      <c r="G25" s="2">
        <f t="shared" si="0"/>
        <v>0.34112858660940848</v>
      </c>
      <c r="I25" s="1">
        <v>0.39798335104430993</v>
      </c>
      <c r="J25">
        <v>0</v>
      </c>
    </row>
    <row r="26" spans="1:10" x14ac:dyDescent="0.25">
      <c r="A26" t="s">
        <v>4</v>
      </c>
      <c r="C26" t="s">
        <v>5</v>
      </c>
      <c r="D26" t="s">
        <v>36</v>
      </c>
      <c r="E26" t="s">
        <v>6</v>
      </c>
      <c r="F26" t="s">
        <v>2</v>
      </c>
      <c r="G26" s="2">
        <f t="shared" si="0"/>
        <v>5.3313035045414174E-2</v>
      </c>
      <c r="I26" s="1">
        <v>6.2198540886316538E-2</v>
      </c>
      <c r="J26">
        <v>0</v>
      </c>
    </row>
    <row r="27" spans="1:10" x14ac:dyDescent="0.25">
      <c r="A27" t="s">
        <v>4</v>
      </c>
      <c r="C27" t="s">
        <v>5</v>
      </c>
      <c r="D27" t="s">
        <v>37</v>
      </c>
      <c r="E27" t="s">
        <v>6</v>
      </c>
      <c r="F27" t="s">
        <v>2</v>
      </c>
      <c r="G27" s="2">
        <f t="shared" si="0"/>
        <v>0.18319940436674276</v>
      </c>
      <c r="I27" s="1">
        <v>0.21373263842786655</v>
      </c>
      <c r="J27">
        <v>0</v>
      </c>
    </row>
    <row r="28" spans="1:10" x14ac:dyDescent="0.25">
      <c r="A28" t="s">
        <v>4</v>
      </c>
      <c r="C28" t="s">
        <v>5</v>
      </c>
      <c r="D28" t="s">
        <v>38</v>
      </c>
      <c r="E28" t="s">
        <v>6</v>
      </c>
      <c r="F28" t="s">
        <v>2</v>
      </c>
      <c r="G28" s="2">
        <f t="shared" si="0"/>
        <v>2.9001279969998515</v>
      </c>
      <c r="I28" s="1">
        <v>3.3834826631664936</v>
      </c>
      <c r="J28">
        <v>0</v>
      </c>
    </row>
    <row r="29" spans="1:10" x14ac:dyDescent="0.25">
      <c r="A29" t="s">
        <v>4</v>
      </c>
      <c r="C29" t="s">
        <v>5</v>
      </c>
      <c r="D29" t="s">
        <v>39</v>
      </c>
      <c r="E29" t="s">
        <v>6</v>
      </c>
      <c r="F29" t="s">
        <v>2</v>
      </c>
      <c r="G29" s="2">
        <f t="shared" si="0"/>
        <v>2.139304906468941E-3</v>
      </c>
      <c r="I29" s="1">
        <v>2.4958557242137649E-3</v>
      </c>
      <c r="J29">
        <v>0</v>
      </c>
    </row>
    <row r="30" spans="1:10" x14ac:dyDescent="0.25">
      <c r="A30" t="s">
        <v>4</v>
      </c>
      <c r="C30" t="s">
        <v>5</v>
      </c>
      <c r="D30" t="s">
        <v>40</v>
      </c>
      <c r="E30" t="s">
        <v>6</v>
      </c>
      <c r="F30" t="s">
        <v>2</v>
      </c>
      <c r="G30" s="2">
        <f t="shared" si="0"/>
        <v>5.5230304030642108E-2</v>
      </c>
      <c r="I30" s="1">
        <v>6.4435354702415792E-2</v>
      </c>
      <c r="J30">
        <v>0</v>
      </c>
    </row>
    <row r="31" spans="1:10" x14ac:dyDescent="0.25">
      <c r="A31" t="s">
        <v>4</v>
      </c>
      <c r="C31" t="s">
        <v>5</v>
      </c>
      <c r="D31" t="s">
        <v>41</v>
      </c>
      <c r="E31" t="s">
        <v>6</v>
      </c>
      <c r="F31" t="s">
        <v>2</v>
      </c>
      <c r="G31" s="2">
        <f t="shared" si="0"/>
        <v>5.397273563655472E-2</v>
      </c>
      <c r="I31" s="1">
        <v>6.2968191575980506E-2</v>
      </c>
      <c r="J31">
        <v>0</v>
      </c>
    </row>
    <row r="32" spans="1:10" x14ac:dyDescent="0.25">
      <c r="A32" t="s">
        <v>4</v>
      </c>
      <c r="C32" t="s">
        <v>5</v>
      </c>
      <c r="D32" t="s">
        <v>42</v>
      </c>
      <c r="E32" t="s">
        <v>6</v>
      </c>
      <c r="F32" t="s">
        <v>2</v>
      </c>
      <c r="G32" s="2">
        <f t="shared" si="0"/>
        <v>0.49302091417192651</v>
      </c>
      <c r="I32" s="1">
        <v>0.57519106653391427</v>
      </c>
      <c r="J32">
        <v>0</v>
      </c>
    </row>
    <row r="33" spans="1:10" x14ac:dyDescent="0.25">
      <c r="A33" t="s">
        <v>4</v>
      </c>
      <c r="C33" t="s">
        <v>5</v>
      </c>
      <c r="D33" t="s">
        <v>43</v>
      </c>
      <c r="E33" t="s">
        <v>6</v>
      </c>
      <c r="F33" t="s">
        <v>2</v>
      </c>
      <c r="G33" s="2">
        <f t="shared" si="0"/>
        <v>0</v>
      </c>
      <c r="I33" s="1">
        <v>0</v>
      </c>
      <c r="J33">
        <v>0</v>
      </c>
    </row>
    <row r="34" spans="1:10" x14ac:dyDescent="0.25">
      <c r="A34" t="s">
        <v>4</v>
      </c>
      <c r="B34" t="s">
        <v>15</v>
      </c>
      <c r="C34" t="s">
        <v>5</v>
      </c>
      <c r="D34" t="s">
        <v>44</v>
      </c>
      <c r="E34" t="s">
        <v>6</v>
      </c>
      <c r="F34" t="s">
        <v>2</v>
      </c>
      <c r="G34" s="2">
        <f t="shared" si="0"/>
        <v>3.8079124646012006</v>
      </c>
      <c r="I34" s="1">
        <v>4.4425645420347344</v>
      </c>
      <c r="J34">
        <v>0</v>
      </c>
    </row>
    <row r="35" spans="1:10" x14ac:dyDescent="0.25">
      <c r="A35" t="s">
        <v>4</v>
      </c>
      <c r="B35" t="s">
        <v>16</v>
      </c>
      <c r="C35" t="s">
        <v>5</v>
      </c>
      <c r="D35" t="s">
        <v>45</v>
      </c>
      <c r="E35" t="s">
        <v>6</v>
      </c>
      <c r="F35" t="s">
        <v>2</v>
      </c>
      <c r="G35" s="2">
        <f t="shared" si="0"/>
        <v>3.8079124646012006</v>
      </c>
      <c r="I35" s="1">
        <v>4.4425645420347344</v>
      </c>
      <c r="J35">
        <v>0</v>
      </c>
    </row>
    <row r="36" spans="1:10" x14ac:dyDescent="0.25">
      <c r="A36" t="s">
        <v>4</v>
      </c>
      <c r="C36" t="s">
        <v>5</v>
      </c>
      <c r="D36" t="s">
        <v>46</v>
      </c>
      <c r="E36" t="s">
        <v>6</v>
      </c>
      <c r="F36" t="s">
        <v>2</v>
      </c>
      <c r="G36" s="2">
        <f t="shared" si="0"/>
        <v>5.2602624898778871E-2</v>
      </c>
      <c r="I36" s="1">
        <v>6.136972904857535E-2</v>
      </c>
      <c r="J36">
        <v>0</v>
      </c>
    </row>
    <row r="37" spans="1:10" x14ac:dyDescent="0.25">
      <c r="A37" t="s">
        <v>4</v>
      </c>
      <c r="C37" t="s">
        <v>5</v>
      </c>
      <c r="D37" t="s">
        <v>47</v>
      </c>
      <c r="E37" t="s">
        <v>6</v>
      </c>
      <c r="F37" t="s">
        <v>2</v>
      </c>
      <c r="G37" s="2">
        <f t="shared" si="0"/>
        <v>0.34180760399223825</v>
      </c>
      <c r="I37" s="1">
        <v>0.39877553799094467</v>
      </c>
      <c r="J37">
        <v>0</v>
      </c>
    </row>
    <row r="38" spans="1:10" x14ac:dyDescent="0.25">
      <c r="A38" t="s">
        <v>4</v>
      </c>
      <c r="C38" t="s">
        <v>5</v>
      </c>
      <c r="D38" t="s">
        <v>48</v>
      </c>
      <c r="E38" t="s">
        <v>6</v>
      </c>
      <c r="F38" t="s">
        <v>2</v>
      </c>
      <c r="G38" s="2">
        <f t="shared" si="0"/>
        <v>0.10397411992230508</v>
      </c>
      <c r="I38" s="1">
        <v>0.12130313990935594</v>
      </c>
      <c r="J38">
        <v>0</v>
      </c>
    </row>
    <row r="39" spans="1:10" x14ac:dyDescent="0.25">
      <c r="A39" t="s">
        <v>4</v>
      </c>
      <c r="C39" t="s">
        <v>5</v>
      </c>
      <c r="D39" t="s">
        <v>49</v>
      </c>
      <c r="E39" t="s">
        <v>6</v>
      </c>
      <c r="F39" t="s">
        <v>2</v>
      </c>
      <c r="G39" s="2">
        <f t="shared" si="0"/>
        <v>1.1328120025224497</v>
      </c>
      <c r="I39" s="1">
        <v>1.321614002942858</v>
      </c>
      <c r="J39">
        <v>0</v>
      </c>
    </row>
    <row r="40" spans="1:10" x14ac:dyDescent="0.25">
      <c r="A40" t="s">
        <v>4</v>
      </c>
      <c r="C40" t="s">
        <v>5</v>
      </c>
      <c r="D40" t="s">
        <v>50</v>
      </c>
      <c r="E40" t="s">
        <v>6</v>
      </c>
      <c r="F40" t="s">
        <v>2</v>
      </c>
      <c r="G40" s="2">
        <f t="shared" si="0"/>
        <v>2.9695934903071993E-3</v>
      </c>
      <c r="I40" s="1">
        <v>3.4645257386917328E-3</v>
      </c>
      <c r="J40">
        <v>0</v>
      </c>
    </row>
    <row r="41" spans="1:10" x14ac:dyDescent="0.25">
      <c r="A41" t="s">
        <v>4</v>
      </c>
      <c r="C41" t="s">
        <v>5</v>
      </c>
      <c r="D41" t="s">
        <v>51</v>
      </c>
      <c r="E41" t="s">
        <v>6</v>
      </c>
      <c r="F41" t="s">
        <v>2</v>
      </c>
      <c r="G41" s="2">
        <f t="shared" si="0"/>
        <v>0.13643619081308389</v>
      </c>
      <c r="I41" s="1">
        <v>0.15917555594859789</v>
      </c>
      <c r="J41">
        <v>0</v>
      </c>
    </row>
    <row r="42" spans="1:10" x14ac:dyDescent="0.25">
      <c r="A42" t="s">
        <v>4</v>
      </c>
      <c r="C42" t="s">
        <v>5</v>
      </c>
      <c r="D42" t="s">
        <v>52</v>
      </c>
      <c r="E42" t="s">
        <v>6</v>
      </c>
      <c r="F42" t="s">
        <v>2</v>
      </c>
      <c r="G42" s="2">
        <f t="shared" si="0"/>
        <v>1.5398365013007481E-2</v>
      </c>
      <c r="I42" s="1">
        <v>1.7964759181842063E-2</v>
      </c>
      <c r="J42">
        <v>0</v>
      </c>
    </row>
    <row r="43" spans="1:10" x14ac:dyDescent="0.25">
      <c r="A43" t="s">
        <v>4</v>
      </c>
      <c r="C43" t="s">
        <v>5</v>
      </c>
      <c r="D43" t="s">
        <v>53</v>
      </c>
      <c r="E43" t="s">
        <v>6</v>
      </c>
      <c r="F43" t="s">
        <v>2</v>
      </c>
      <c r="G43" s="2">
        <f t="shared" si="0"/>
        <v>4.7488724620061019E-2</v>
      </c>
      <c r="I43" s="1">
        <v>5.5403512056737859E-2</v>
      </c>
      <c r="J43">
        <v>0</v>
      </c>
    </row>
    <row r="44" spans="1:10" x14ac:dyDescent="0.25">
      <c r="A44" t="s">
        <v>4</v>
      </c>
      <c r="C44" t="s">
        <v>5</v>
      </c>
      <c r="D44" t="s">
        <v>54</v>
      </c>
      <c r="E44" t="s">
        <v>6</v>
      </c>
      <c r="F44" t="s">
        <v>2</v>
      </c>
      <c r="G44" s="2">
        <f t="shared" si="0"/>
        <v>1.2176652854352712</v>
      </c>
      <c r="I44" s="1">
        <v>1.4206094996744831</v>
      </c>
      <c r="J44">
        <v>0</v>
      </c>
    </row>
    <row r="45" spans="1:10" x14ac:dyDescent="0.25">
      <c r="A45" t="s">
        <v>4</v>
      </c>
      <c r="C45" t="s">
        <v>5</v>
      </c>
      <c r="D45" t="s">
        <v>55</v>
      </c>
      <c r="E45" t="s">
        <v>6</v>
      </c>
      <c r="F45" t="s">
        <v>2</v>
      </c>
      <c r="G45" s="2">
        <f t="shared" si="0"/>
        <v>0</v>
      </c>
      <c r="I45" s="1">
        <v>0</v>
      </c>
      <c r="J45">
        <v>0</v>
      </c>
    </row>
    <row r="46" spans="1:10" x14ac:dyDescent="0.25">
      <c r="A46" t="s">
        <v>4</v>
      </c>
      <c r="C46" t="s">
        <v>5</v>
      </c>
      <c r="D46" t="s">
        <v>56</v>
      </c>
      <c r="E46" t="s">
        <v>6</v>
      </c>
      <c r="F46" t="s">
        <v>2</v>
      </c>
      <c r="G46" s="2">
        <f t="shared" si="0"/>
        <v>3.6794022201852211E-2</v>
      </c>
      <c r="I46" s="1">
        <v>4.2926359235494246E-2</v>
      </c>
      <c r="J46">
        <v>0</v>
      </c>
    </row>
    <row r="47" spans="1:10" x14ac:dyDescent="0.25">
      <c r="A47" t="s">
        <v>4</v>
      </c>
      <c r="C47" t="s">
        <v>5</v>
      </c>
      <c r="D47" t="s">
        <v>57</v>
      </c>
      <c r="E47" t="s">
        <v>6</v>
      </c>
      <c r="F47" t="s">
        <v>2</v>
      </c>
      <c r="G47" s="2">
        <f t="shared" si="0"/>
        <v>0.40802339246592184</v>
      </c>
      <c r="I47" s="1">
        <v>0.47602729121024218</v>
      </c>
      <c r="J47">
        <v>0</v>
      </c>
    </row>
    <row r="48" spans="1:10" x14ac:dyDescent="0.25">
      <c r="A48" t="s">
        <v>4</v>
      </c>
      <c r="C48" t="s">
        <v>5</v>
      </c>
      <c r="D48" t="s">
        <v>58</v>
      </c>
      <c r="E48" t="s">
        <v>6</v>
      </c>
      <c r="F48" t="s">
        <v>2</v>
      </c>
      <c r="G48" s="2">
        <f t="shared" si="0"/>
        <v>0.78731340861686139</v>
      </c>
      <c r="I48" s="1">
        <v>0.91853231005300495</v>
      </c>
      <c r="J48">
        <v>0</v>
      </c>
    </row>
    <row r="49" spans="1:10" x14ac:dyDescent="0.25">
      <c r="A49" t="s">
        <v>4</v>
      </c>
      <c r="C49" t="s">
        <v>5</v>
      </c>
      <c r="D49" t="s">
        <v>59</v>
      </c>
      <c r="E49" t="s">
        <v>6</v>
      </c>
      <c r="F49" t="s">
        <v>2</v>
      </c>
      <c r="G49" s="2">
        <f t="shared" si="0"/>
        <v>0</v>
      </c>
      <c r="I49" s="1">
        <v>0</v>
      </c>
      <c r="J49">
        <v>0</v>
      </c>
    </row>
    <row r="50" spans="1:10" x14ac:dyDescent="0.25">
      <c r="A50" t="s">
        <v>4</v>
      </c>
      <c r="C50" t="s">
        <v>5</v>
      </c>
      <c r="D50" t="s">
        <v>60</v>
      </c>
      <c r="E50" t="s">
        <v>6</v>
      </c>
      <c r="F50" t="s">
        <v>2</v>
      </c>
      <c r="G50" s="2">
        <f t="shared" si="0"/>
        <v>3.6045228565935662E-3</v>
      </c>
      <c r="I50" s="1">
        <v>4.2052766660258274E-3</v>
      </c>
      <c r="J50">
        <v>0</v>
      </c>
    </row>
    <row r="51" spans="1:10" x14ac:dyDescent="0.25">
      <c r="A51" t="s">
        <v>4</v>
      </c>
      <c r="C51" t="s">
        <v>5</v>
      </c>
      <c r="D51" t="s">
        <v>61</v>
      </c>
      <c r="E51" t="s">
        <v>6</v>
      </c>
      <c r="F51" t="s">
        <v>2</v>
      </c>
      <c r="G51" s="2">
        <f t="shared" si="0"/>
        <v>0</v>
      </c>
      <c r="I51" s="1">
        <v>0</v>
      </c>
      <c r="J51">
        <v>0</v>
      </c>
    </row>
    <row r="52" spans="1:10" x14ac:dyDescent="0.25">
      <c r="A52" t="s">
        <v>4</v>
      </c>
      <c r="C52" t="s">
        <v>5</v>
      </c>
      <c r="D52" t="s">
        <v>62</v>
      </c>
      <c r="E52" t="s">
        <v>6</v>
      </c>
      <c r="F52" t="s">
        <v>2</v>
      </c>
      <c r="G52" s="2">
        <f t="shared" si="0"/>
        <v>0.56590774863468363</v>
      </c>
      <c r="I52" s="1">
        <v>0.66022570674046432</v>
      </c>
      <c r="J52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selection activeCell="L8" sqref="L8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4" bestFit="1" customWidth="1"/>
    <col min="10" max="10" width="5" bestFit="1" customWidth="1"/>
  </cols>
  <sheetData>
    <row r="1" spans="1:14" x14ac:dyDescent="0.25">
      <c r="A1" s="4" t="s">
        <v>24</v>
      </c>
      <c r="B1" s="4" t="s">
        <v>9</v>
      </c>
      <c r="C1" s="4" t="s">
        <v>8</v>
      </c>
      <c r="D1" s="4" t="s">
        <v>25</v>
      </c>
      <c r="E1" s="4" t="s">
        <v>26</v>
      </c>
      <c r="F1" s="4" t="s">
        <v>0</v>
      </c>
      <c r="G1" s="4" t="s">
        <v>1</v>
      </c>
      <c r="H1" s="4" t="s">
        <v>3</v>
      </c>
      <c r="J1" t="s">
        <v>18</v>
      </c>
      <c r="K1" s="4" t="s">
        <v>20</v>
      </c>
    </row>
    <row r="2" spans="1:14" x14ac:dyDescent="0.25">
      <c r="A2" t="s">
        <v>21</v>
      </c>
      <c r="B2" t="s">
        <v>4</v>
      </c>
      <c r="C2" t="s">
        <v>5</v>
      </c>
      <c r="D2" t="s">
        <v>22</v>
      </c>
      <c r="E2" t="s">
        <v>11</v>
      </c>
      <c r="F2" t="s">
        <v>23</v>
      </c>
      <c r="G2" t="s">
        <v>2</v>
      </c>
      <c r="H2" s="5">
        <f>(J2*AVERAGE(CattleHerd!N4:N5)+K2*AVERAGE(CattleHerd!O4:O5))/AVERAGE(CattleHerd!P4:P5)</f>
        <v>32.373364621430575</v>
      </c>
      <c r="J2" s="3">
        <v>20</v>
      </c>
      <c r="K2">
        <v>100</v>
      </c>
      <c r="L2" t="s">
        <v>65</v>
      </c>
      <c r="N2" t="s">
        <v>70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2024-09-24T08:53:54Z</dcterms:modified>
</cp:coreProperties>
</file>