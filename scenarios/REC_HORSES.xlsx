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HorseHerd" sheetId="1" r:id="rId1"/>
    <sheet name="FeedMgm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4" i="1" s="1"/>
  <c r="F7" i="1"/>
  <c r="F6" i="1" s="1"/>
  <c r="F9" i="1"/>
  <c r="F8" i="1" s="1"/>
  <c r="F11" i="1"/>
  <c r="F10" i="1" s="1"/>
  <c r="F13" i="1"/>
  <c r="F12" i="1" s="1"/>
  <c r="F15" i="1"/>
  <c r="F14" i="1" s="1"/>
  <c r="F17" i="1"/>
  <c r="F16" i="1" s="1"/>
  <c r="F2" i="1"/>
  <c r="F3" i="1"/>
</calcChain>
</file>

<file path=xl/sharedStrings.xml><?xml version="1.0" encoding="utf-8"?>
<sst xmlns="http://schemas.openxmlformats.org/spreadsheetml/2006/main" count="108" uniqueCount="25">
  <si>
    <t>riding horses</t>
  </si>
  <si>
    <t>broodmares</t>
  </si>
  <si>
    <t>young horses</t>
  </si>
  <si>
    <t>f_breed</t>
  </si>
  <si>
    <t>f_animal</t>
  </si>
  <si>
    <t>val_is</t>
  </si>
  <si>
    <t>f_feed</t>
  </si>
  <si>
    <t>hay</t>
  </si>
  <si>
    <t>grazing</t>
  </si>
  <si>
    <t>default data</t>
  </si>
  <si>
    <t>y_0</t>
  </si>
  <si>
    <t>abs</t>
  </si>
  <si>
    <t>grazing f</t>
  </si>
  <si>
    <t>f_species</t>
  </si>
  <si>
    <t>parameter</t>
  </si>
  <si>
    <t>share_in_ration</t>
  </si>
  <si>
    <t>new</t>
  </si>
  <si>
    <t>max_crop_in_crop_prod</t>
  </si>
  <si>
    <t>f_crop_group</t>
  </si>
  <si>
    <t>f_crop_prod</t>
  </si>
  <si>
    <t>Semi-natural pastures</t>
  </si>
  <si>
    <t>horses</t>
  </si>
  <si>
    <t>ponies and Icelandic horses</t>
  </si>
  <si>
    <t>cold blooded horses</t>
  </si>
  <si>
    <t>trotters and racehorses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</si>
</sst>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F17" sqref="F17"/>
    </sheetView>
  </sheetViews>
  <sheetFormatPr defaultRowHeight="15" x14ac:dyDescent="0.25"/>
  <cols>
    <col min="1" max="1" width="25.85546875" bestFit="1" customWidth="1"/>
    <col min="2" max="2" width="12.7109375" bestFit="1" customWidth="1"/>
    <col min="3" max="3" width="12.7109375" customWidth="1"/>
    <col min="4" max="4" width="15" bestFit="1" customWidth="1"/>
    <col min="5" max="5" width="10" bestFit="1" customWidth="1"/>
  </cols>
  <sheetData>
    <row r="1" spans="1:10" x14ac:dyDescent="0.25">
      <c r="A1" t="s">
        <v>3</v>
      </c>
      <c r="B1" t="s">
        <v>4</v>
      </c>
      <c r="C1" t="s">
        <v>6</v>
      </c>
      <c r="D1" t="s">
        <v>14</v>
      </c>
      <c r="E1" t="s">
        <v>5</v>
      </c>
      <c r="F1" t="s">
        <v>10</v>
      </c>
      <c r="H1" t="s">
        <v>12</v>
      </c>
      <c r="J1" t="s">
        <v>9</v>
      </c>
    </row>
    <row r="2" spans="1:10" x14ac:dyDescent="0.25">
      <c r="A2" t="s">
        <v>22</v>
      </c>
      <c r="B2" t="s">
        <v>1</v>
      </c>
      <c r="C2" t="s">
        <v>7</v>
      </c>
      <c r="D2" t="s">
        <v>15</v>
      </c>
      <c r="E2" t="s">
        <v>11</v>
      </c>
      <c r="F2" s="2">
        <f>SUM(J2:J3)-F3</f>
        <v>55.800000000000004</v>
      </c>
      <c r="H2">
        <v>1.2</v>
      </c>
      <c r="J2" s="2">
        <v>62</v>
      </c>
    </row>
    <row r="3" spans="1:10" x14ac:dyDescent="0.25">
      <c r="A3" t="s">
        <v>22</v>
      </c>
      <c r="B3" t="s">
        <v>1</v>
      </c>
      <c r="C3" t="s">
        <v>8</v>
      </c>
      <c r="D3" t="s">
        <v>15</v>
      </c>
      <c r="E3" t="s">
        <v>11</v>
      </c>
      <c r="F3" s="2">
        <f>J3*H3</f>
        <v>37.199999999999996</v>
      </c>
      <c r="H3">
        <v>1.2</v>
      </c>
      <c r="J3" s="2">
        <v>31</v>
      </c>
    </row>
    <row r="4" spans="1:10" x14ac:dyDescent="0.25">
      <c r="A4" t="s">
        <v>22</v>
      </c>
      <c r="B4" t="s">
        <v>2</v>
      </c>
      <c r="C4" t="s">
        <v>7</v>
      </c>
      <c r="D4" t="s">
        <v>15</v>
      </c>
      <c r="E4" t="s">
        <v>11</v>
      </c>
      <c r="F4" s="2">
        <f t="shared" ref="F4:F17" si="0">SUM(J4:J5)-F5</f>
        <v>55.199999599999998</v>
      </c>
      <c r="H4">
        <v>1.2</v>
      </c>
      <c r="J4" s="2">
        <v>61.333333000000003</v>
      </c>
    </row>
    <row r="5" spans="1:10" x14ac:dyDescent="0.25">
      <c r="A5" t="s">
        <v>22</v>
      </c>
      <c r="B5" t="s">
        <v>2</v>
      </c>
      <c r="C5" t="s">
        <v>8</v>
      </c>
      <c r="D5" t="s">
        <v>15</v>
      </c>
      <c r="E5" t="s">
        <v>11</v>
      </c>
      <c r="F5" s="2">
        <f t="shared" ref="F5:F17" si="1">J5*H5</f>
        <v>36.800000400000002</v>
      </c>
      <c r="H5">
        <v>1.2</v>
      </c>
      <c r="J5" s="2">
        <v>30.666667</v>
      </c>
    </row>
    <row r="6" spans="1:10" x14ac:dyDescent="0.25">
      <c r="A6" t="s">
        <v>23</v>
      </c>
      <c r="B6" t="s">
        <v>1</v>
      </c>
      <c r="C6" t="s">
        <v>7</v>
      </c>
      <c r="D6" t="s">
        <v>15</v>
      </c>
      <c r="E6" t="s">
        <v>11</v>
      </c>
      <c r="F6" s="2">
        <f t="shared" ref="F6:F17" si="2">SUM(J6:J7)-F7</f>
        <v>55.800000000000004</v>
      </c>
      <c r="H6">
        <v>1.2</v>
      </c>
      <c r="J6" s="2">
        <v>62</v>
      </c>
    </row>
    <row r="7" spans="1:10" x14ac:dyDescent="0.25">
      <c r="A7" t="s">
        <v>23</v>
      </c>
      <c r="B7" t="s">
        <v>1</v>
      </c>
      <c r="C7" t="s">
        <v>8</v>
      </c>
      <c r="D7" t="s">
        <v>15</v>
      </c>
      <c r="E7" t="s">
        <v>11</v>
      </c>
      <c r="F7" s="2">
        <f t="shared" ref="F7:F17" si="3">J7*H7</f>
        <v>37.199999999999996</v>
      </c>
      <c r="H7">
        <v>1.2</v>
      </c>
      <c r="J7" s="2">
        <v>31</v>
      </c>
    </row>
    <row r="8" spans="1:10" x14ac:dyDescent="0.25">
      <c r="A8" t="s">
        <v>23</v>
      </c>
      <c r="B8" t="s">
        <v>2</v>
      </c>
      <c r="C8" t="s">
        <v>7</v>
      </c>
      <c r="D8" t="s">
        <v>15</v>
      </c>
      <c r="E8" t="s">
        <v>11</v>
      </c>
      <c r="F8" s="2">
        <f t="shared" ref="F8:F17" si="4">SUM(J8:J9)-F9</f>
        <v>58.2000004</v>
      </c>
      <c r="H8">
        <v>1.2</v>
      </c>
      <c r="J8" s="2">
        <v>64.666667000000004</v>
      </c>
    </row>
    <row r="9" spans="1:10" x14ac:dyDescent="0.25">
      <c r="A9" t="s">
        <v>23</v>
      </c>
      <c r="B9" t="s">
        <v>2</v>
      </c>
      <c r="C9" t="s">
        <v>8</v>
      </c>
      <c r="D9" t="s">
        <v>15</v>
      </c>
      <c r="E9" t="s">
        <v>11</v>
      </c>
      <c r="F9" s="2">
        <f t="shared" ref="F9:F17" si="5">J9*H9</f>
        <v>38.7999996</v>
      </c>
      <c r="H9">
        <v>1.2</v>
      </c>
      <c r="J9" s="2">
        <v>32.333333000000003</v>
      </c>
    </row>
    <row r="10" spans="1:10" x14ac:dyDescent="0.25">
      <c r="A10" t="s">
        <v>0</v>
      </c>
      <c r="B10" t="s">
        <v>1</v>
      </c>
      <c r="C10" t="s">
        <v>7</v>
      </c>
      <c r="D10" t="s">
        <v>15</v>
      </c>
      <c r="E10" t="s">
        <v>11</v>
      </c>
      <c r="F10" s="2">
        <f t="shared" ref="F10:F17" si="6">SUM(J10:J11)-F11</f>
        <v>55.800000000000004</v>
      </c>
      <c r="H10">
        <v>1.2</v>
      </c>
      <c r="J10" s="2">
        <v>62</v>
      </c>
    </row>
    <row r="11" spans="1:10" x14ac:dyDescent="0.25">
      <c r="A11" t="s">
        <v>0</v>
      </c>
      <c r="B11" t="s">
        <v>1</v>
      </c>
      <c r="C11" t="s">
        <v>8</v>
      </c>
      <c r="D11" t="s">
        <v>15</v>
      </c>
      <c r="E11" t="s">
        <v>11</v>
      </c>
      <c r="F11" s="2">
        <f t="shared" ref="F11:F17" si="7">J11*H11</f>
        <v>37.199999999999996</v>
      </c>
      <c r="H11">
        <v>1.2</v>
      </c>
      <c r="J11" s="2">
        <v>31</v>
      </c>
    </row>
    <row r="12" spans="1:10" x14ac:dyDescent="0.25">
      <c r="A12" t="s">
        <v>0</v>
      </c>
      <c r="B12" t="s">
        <v>2</v>
      </c>
      <c r="C12" t="s">
        <v>7</v>
      </c>
      <c r="D12" t="s">
        <v>15</v>
      </c>
      <c r="E12" t="s">
        <v>11</v>
      </c>
      <c r="F12" s="2">
        <f t="shared" ref="F12:F17" si="8">SUM(J12:J13)-F13</f>
        <v>56.999999600000002</v>
      </c>
      <c r="H12">
        <v>1.2</v>
      </c>
      <c r="J12" s="2">
        <v>63.333333000000003</v>
      </c>
    </row>
    <row r="13" spans="1:10" x14ac:dyDescent="0.25">
      <c r="A13" t="s">
        <v>0</v>
      </c>
      <c r="B13" t="s">
        <v>2</v>
      </c>
      <c r="C13" t="s">
        <v>8</v>
      </c>
      <c r="D13" t="s">
        <v>15</v>
      </c>
      <c r="E13" t="s">
        <v>11</v>
      </c>
      <c r="F13" s="2">
        <f t="shared" ref="F13:F17" si="9">J13*H13</f>
        <v>38.000000399999998</v>
      </c>
      <c r="H13">
        <v>1.2</v>
      </c>
      <c r="J13" s="2">
        <v>31.666667</v>
      </c>
    </row>
    <row r="14" spans="1:10" x14ac:dyDescent="0.25">
      <c r="A14" t="s">
        <v>24</v>
      </c>
      <c r="B14" t="s">
        <v>1</v>
      </c>
      <c r="C14" t="s">
        <v>7</v>
      </c>
      <c r="D14" t="s">
        <v>15</v>
      </c>
      <c r="E14" t="s">
        <v>11</v>
      </c>
      <c r="F14" s="2">
        <f t="shared" ref="F14:F17" si="10">SUM(J14:J15)-F15</f>
        <v>54</v>
      </c>
      <c r="H14">
        <v>1.2</v>
      </c>
      <c r="J14" s="2">
        <v>60</v>
      </c>
    </row>
    <row r="15" spans="1:10" x14ac:dyDescent="0.25">
      <c r="A15" t="s">
        <v>24</v>
      </c>
      <c r="B15" t="s">
        <v>1</v>
      </c>
      <c r="C15" t="s">
        <v>8</v>
      </c>
      <c r="D15" t="s">
        <v>15</v>
      </c>
      <c r="E15" t="s">
        <v>11</v>
      </c>
      <c r="F15" s="2">
        <f t="shared" ref="F15:F17" si="11">J15*H15</f>
        <v>36</v>
      </c>
      <c r="H15">
        <v>1.2</v>
      </c>
      <c r="J15" s="2">
        <v>30</v>
      </c>
    </row>
    <row r="16" spans="1:10" x14ac:dyDescent="0.25">
      <c r="A16" t="s">
        <v>24</v>
      </c>
      <c r="B16" t="s">
        <v>2</v>
      </c>
      <c r="C16" t="s">
        <v>7</v>
      </c>
      <c r="D16" t="s">
        <v>15</v>
      </c>
      <c r="E16" t="s">
        <v>11</v>
      </c>
      <c r="F16" s="2">
        <f t="shared" ref="F16:F17" si="12">SUM(J16:J17)-F17</f>
        <v>52.800000400000002</v>
      </c>
      <c r="H16">
        <v>1.2</v>
      </c>
      <c r="J16" s="2">
        <v>58.666666999999997</v>
      </c>
    </row>
    <row r="17" spans="1:10" x14ac:dyDescent="0.25">
      <c r="A17" t="s">
        <v>24</v>
      </c>
      <c r="B17" t="s">
        <v>2</v>
      </c>
      <c r="C17" t="s">
        <v>8</v>
      </c>
      <c r="D17" t="s">
        <v>15</v>
      </c>
      <c r="E17" t="s">
        <v>11</v>
      </c>
      <c r="F17" s="2">
        <f t="shared" ref="F17" si="13">J17*H17</f>
        <v>35.199999599999998</v>
      </c>
      <c r="H17">
        <v>1.2</v>
      </c>
      <c r="J17" s="2">
        <v>29.333333</v>
      </c>
    </row>
    <row r="18" spans="1:10" x14ac:dyDescent="0.25">
      <c r="C18" s="1"/>
    </row>
    <row r="19" spans="1:10" x14ac:dyDescent="0.25">
      <c r="C19" s="1"/>
    </row>
    <row r="20" spans="1:10" x14ac:dyDescent="0.25">
      <c r="C20" s="1"/>
    </row>
    <row r="21" spans="1:10" x14ac:dyDescent="0.25">
      <c r="C21" s="1"/>
    </row>
    <row r="22" spans="1:10" x14ac:dyDescent="0.25">
      <c r="C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D13" sqref="D13"/>
    </sheetView>
  </sheetViews>
  <sheetFormatPr defaultRowHeight="15" x14ac:dyDescent="0.25"/>
  <cols>
    <col min="1" max="1" width="9.28515625" bestFit="1" customWidth="1"/>
    <col min="2" max="2" width="12.42578125" bestFit="1" customWidth="1"/>
    <col min="3" max="3" width="12.7109375" bestFit="1" customWidth="1"/>
    <col min="4" max="4" width="20.7109375" bestFit="1" customWidth="1"/>
    <col min="5" max="5" width="11.7109375" bestFit="1" customWidth="1"/>
    <col min="6" max="6" width="22.7109375" bestFit="1" customWidth="1"/>
  </cols>
  <sheetData>
    <row r="1" spans="1:8" x14ac:dyDescent="0.25">
      <c r="A1" t="s">
        <v>13</v>
      </c>
      <c r="B1" t="s">
        <v>3</v>
      </c>
      <c r="C1" t="s">
        <v>4</v>
      </c>
      <c r="D1" t="s">
        <v>18</v>
      </c>
      <c r="E1" t="s">
        <v>19</v>
      </c>
      <c r="F1" t="s">
        <v>14</v>
      </c>
      <c r="G1" t="s">
        <v>5</v>
      </c>
      <c r="H1" t="s">
        <v>10</v>
      </c>
    </row>
    <row r="2" spans="1:8" x14ac:dyDescent="0.25">
      <c r="A2" t="s">
        <v>21</v>
      </c>
      <c r="C2" t="s">
        <v>1</v>
      </c>
      <c r="D2" t="s">
        <v>20</v>
      </c>
      <c r="E2" t="s">
        <v>8</v>
      </c>
      <c r="F2" t="s">
        <v>17</v>
      </c>
      <c r="G2" t="s">
        <v>16</v>
      </c>
      <c r="H2">
        <v>100</v>
      </c>
    </row>
    <row r="3" spans="1:8" x14ac:dyDescent="0.25">
      <c r="A3" t="s">
        <v>21</v>
      </c>
      <c r="C3" t="s">
        <v>2</v>
      </c>
      <c r="D3" t="s">
        <v>20</v>
      </c>
      <c r="E3" t="s">
        <v>8</v>
      </c>
      <c r="F3" t="s">
        <v>17</v>
      </c>
      <c r="G3" t="s">
        <v>16</v>
      </c>
      <c r="H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HorseHerd</vt:lpstr>
      <vt:lpstr>FeedMgmt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2024-10-22T12:02:38Z</dcterms:modified>
</cp:coreProperties>
</file>