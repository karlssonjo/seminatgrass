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4" l="1"/>
  <c r="O2" i="4"/>
  <c r="H11" i="4" l="1"/>
  <c r="K11" i="4"/>
  <c r="H2" i="5"/>
  <c r="H6" i="4" l="1"/>
  <c r="H5" i="4"/>
  <c r="K6" i="4"/>
  <c r="K5" i="4"/>
  <c r="J25" i="4"/>
  <c r="K25" i="4"/>
  <c r="K24" i="4"/>
  <c r="K23" i="4"/>
  <c r="J26" i="4"/>
  <c r="K26" i="4" s="1"/>
  <c r="H2" i="4"/>
  <c r="H3" i="4"/>
  <c r="H8" i="4"/>
  <c r="H9" i="4"/>
  <c r="H16" i="4"/>
  <c r="H14" i="4"/>
  <c r="H15" i="4"/>
  <c r="H17" i="4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<sst xmlns="http://schemas.openxmlformats.org/spreadsheetml/2006/main" count="111" uniqueCount="44">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</sst>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Font="1"/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tabSelected="1" workbookViewId="0">
      <selection activeCell="N14" sqref="N14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5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5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9576</v>
      </c>
      <c r="J2" s="13">
        <v>10025.4</v>
      </c>
      <c r="K2" s="14">
        <v>9576</v>
      </c>
      <c r="L2" t="s">
        <v>28</v>
      </c>
      <c r="O2">
        <f>K2/J2</f>
        <v>0.95517385839966484</v>
      </c>
    </row>
    <row r="3" spans="1:15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8960</v>
      </c>
      <c r="J3" s="13">
        <v>9367.2000000000007</v>
      </c>
      <c r="K3" s="14">
        <v>8960</v>
      </c>
      <c r="L3" t="s">
        <v>28</v>
      </c>
      <c r="O3">
        <f>K3/J3</f>
        <v>0.95652916559911172</v>
      </c>
    </row>
    <row r="5" spans="1:15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13.81875</v>
      </c>
      <c r="J5">
        <v>13.2</v>
      </c>
      <c r="K5" s="12">
        <f>12 / (K25 / (K23/12))</f>
        <v>13.81875</v>
      </c>
      <c r="L5" t="s">
        <v>27</v>
      </c>
    </row>
    <row r="6" spans="1:15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13.486363636363636</v>
      </c>
      <c r="J6">
        <v>12.9</v>
      </c>
      <c r="K6" s="12">
        <f>12 / (K26 / (K24/12))</f>
        <v>13.486363636363636</v>
      </c>
      <c r="L6" t="s">
        <v>27</v>
      </c>
    </row>
    <row r="8" spans="1:15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 s="11">
        <v>35.799999999999997</v>
      </c>
      <c r="L8" t="s">
        <v>26</v>
      </c>
    </row>
    <row r="9" spans="1:15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 s="11">
        <v>34.799999999999997</v>
      </c>
      <c r="L9" t="s">
        <v>26</v>
      </c>
    </row>
    <row r="11" spans="1:15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25</v>
      </c>
      <c r="M11" s="6"/>
    </row>
    <row r="12" spans="1:15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5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5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10.721</v>
      </c>
      <c r="J14" s="1">
        <v>6.6079520088655128</v>
      </c>
      <c r="K14" s="12">
        <v>10.721</v>
      </c>
      <c r="L14" t="s">
        <v>26</v>
      </c>
    </row>
    <row r="15" spans="1:15" x14ac:dyDescent="0.25">
      <c r="A15" t="s">
        <v>4</v>
      </c>
      <c r="D15" t="s">
        <v>5</v>
      </c>
      <c r="F15" t="s">
        <v>6</v>
      </c>
      <c r="G15" t="s">
        <v>33</v>
      </c>
      <c r="H15" s="7">
        <f>(1 / (100 - J$16)) * (1 - K$16/100) * 100</f>
        <v>0.95446267697244147</v>
      </c>
      <c r="J15" s="1" t="s">
        <v>41</v>
      </c>
    </row>
    <row r="16" spans="1:15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10.721</v>
      </c>
      <c r="J16" s="1">
        <v>6.4615074492035101</v>
      </c>
      <c r="K16" s="12">
        <v>10.721</v>
      </c>
      <c r="L16" t="s">
        <v>26</v>
      </c>
    </row>
    <row r="17" spans="1:12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7">
        <f>(1 / (100 - J$16)) * (1 - K$16/100) * 100</f>
        <v>0.95446267697244147</v>
      </c>
      <c r="J17" s="1" t="s">
        <v>41</v>
      </c>
    </row>
    <row r="19" spans="1:12" x14ac:dyDescent="0.25">
      <c r="H19" s="8" t="s">
        <v>39</v>
      </c>
      <c r="I19" t="s">
        <v>35</v>
      </c>
      <c r="J19">
        <v>0</v>
      </c>
      <c r="K19" s="11">
        <v>0.25</v>
      </c>
      <c r="L19" t="s">
        <v>43</v>
      </c>
    </row>
    <row r="20" spans="1:12" x14ac:dyDescent="0.25">
      <c r="I20" t="s">
        <v>36</v>
      </c>
      <c r="J20">
        <v>0</v>
      </c>
      <c r="K20" s="11">
        <v>0.25</v>
      </c>
      <c r="L20" t="s">
        <v>43</v>
      </c>
    </row>
    <row r="21" spans="1:12" x14ac:dyDescent="0.25">
      <c r="H21" s="8" t="s">
        <v>38</v>
      </c>
      <c r="I21" t="s">
        <v>35</v>
      </c>
      <c r="J21">
        <v>0</v>
      </c>
      <c r="K21" s="11">
        <v>6</v>
      </c>
      <c r="L21" t="s">
        <v>27</v>
      </c>
    </row>
    <row r="22" spans="1:12" x14ac:dyDescent="0.25">
      <c r="I22" t="s">
        <v>36</v>
      </c>
      <c r="J22">
        <v>0</v>
      </c>
      <c r="K22" s="11">
        <v>6</v>
      </c>
      <c r="L22" t="s">
        <v>27</v>
      </c>
    </row>
    <row r="23" spans="1:12" x14ac:dyDescent="0.25">
      <c r="H23" s="8" t="s">
        <v>34</v>
      </c>
      <c r="I23" t="s">
        <v>35</v>
      </c>
      <c r="J23" s="1">
        <v>32</v>
      </c>
      <c r="K23" s="12">
        <f>J23+K21*K19</f>
        <v>33.5</v>
      </c>
      <c r="L23" t="s">
        <v>27</v>
      </c>
    </row>
    <row r="24" spans="1:12" x14ac:dyDescent="0.25">
      <c r="I24" t="s">
        <v>36</v>
      </c>
      <c r="J24" s="1">
        <v>33</v>
      </c>
      <c r="K24" s="12">
        <f>J24+K22*K20</f>
        <v>34.5</v>
      </c>
      <c r="L24" t="s">
        <v>27</v>
      </c>
    </row>
    <row r="25" spans="1:12" x14ac:dyDescent="0.25">
      <c r="H25" t="s">
        <v>37</v>
      </c>
      <c r="I25" t="s">
        <v>35</v>
      </c>
      <c r="J25" s="1">
        <f>(12/J5) * (J23/12)</f>
        <v>2.4242424242424243</v>
      </c>
      <c r="K25" s="15">
        <f>J25</f>
        <v>2.4242424242424243</v>
      </c>
      <c r="L25" t="s">
        <v>42</v>
      </c>
    </row>
    <row r="26" spans="1:12" x14ac:dyDescent="0.25">
      <c r="I26" t="s">
        <v>36</v>
      </c>
      <c r="J26" s="1">
        <f>(12/J6) * (J24/12)</f>
        <v>2.558139534883721</v>
      </c>
      <c r="K26" s="15">
        <f>J26</f>
        <v>2.558139534883721</v>
      </c>
      <c r="L26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K2" sqref="K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s="9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50.75</v>
      </c>
      <c r="J2" s="2">
        <v>20</v>
      </c>
      <c r="K2" s="4">
        <v>50.75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2025-01-20T07:45:49Z</dcterms:modified>
</cp:coreProperties>
</file>