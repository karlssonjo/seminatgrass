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ttleHerd" sheetId="4" r:id="rId1"/>
    <sheet name="FeedMgmt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4" l="1"/>
  <c r="H17" i="4" l="1"/>
  <c r="H15" i="4"/>
  <c r="H2" i="5"/>
  <c r="J25" i="4"/>
  <c r="K25" i="4"/>
  <c r="J26" i="4"/>
  <c r="K26" i="4"/>
  <c r="H11" i="4"/>
  <c r="K11" i="4"/>
  <c r="K6" i="4" l="1"/>
  <c r="H6" i="4" s="1"/>
  <c r="H5" i="4"/>
  <c r="H2" i="4"/>
  <c r="H3" i="4"/>
  <c r="H8" i="4"/>
  <c r="H9" i="4"/>
  <c r="H16" i="4"/>
  <c r="H14" i="4"/>
</calcChain>
</file>

<file path=xl/sharedStrings.xml><?xml version="1.0" encoding="utf-8"?>
<sst xmlns="http://schemas.openxmlformats.org/spreadsheetml/2006/main" count="101" uniqueCount="43">
  <si>
    <t>parameter</t>
  </si>
  <si>
    <t>val_is</t>
  </si>
  <si>
    <t>abs</t>
  </si>
  <si>
    <t>y_0</t>
  </si>
  <si>
    <t>dairy</t>
  </si>
  <si>
    <t>cows</t>
  </si>
  <si>
    <t>share_in_ration</t>
  </si>
  <si>
    <t>f_feed</t>
  </si>
  <si>
    <t>f_animal</t>
  </si>
  <si>
    <t>f_breed</t>
  </si>
  <si>
    <t>grazing</t>
  </si>
  <si>
    <t>milk_prod</t>
  </si>
  <si>
    <t>f_prod_system</t>
  </si>
  <si>
    <t>conventional</t>
  </si>
  <si>
    <t>organic</t>
  </si>
  <si>
    <t>calving_interval</t>
  </si>
  <si>
    <t>orig.</t>
  </si>
  <si>
    <t>recruitment_rate</t>
  </si>
  <si>
    <t>ret.</t>
  </si>
  <si>
    <t>cattle</t>
  </si>
  <si>
    <t>Semi-natural pastures</t>
  </si>
  <si>
    <t>max_crop_in_crop_prod</t>
  </si>
  <si>
    <t>f_species</t>
  </si>
  <si>
    <t>f_crop_group</t>
  </si>
  <si>
    <t>f_crop_prod</t>
  </si>
  <si>
    <t>live_weight</t>
  </si>
  <si>
    <t>kg</t>
  </si>
  <si>
    <t>%</t>
  </si>
  <si>
    <t>months</t>
  </si>
  <si>
    <t>kg/cow/year</t>
  </si>
  <si>
    <t>Assumes that 100% semi-natural grassland grazing possible when retired</t>
  </si>
  <si>
    <t>maize based</t>
  </si>
  <si>
    <t>f_sub_system</t>
  </si>
  <si>
    <t>Feed rations</t>
  </si>
  <si>
    <t>rel</t>
  </si>
  <si>
    <t>months as cow</t>
  </si>
  <si>
    <t>conv.</t>
  </si>
  <si>
    <t>org.</t>
  </si>
  <si>
    <t># calves</t>
  </si>
  <si>
    <t>delayed culling</t>
  </si>
  <si>
    <t>share of cows</t>
  </si>
  <si>
    <t>new</t>
  </si>
  <si>
    <t>all other feeds reduced proportionally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</si>
</sst>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" fontId="0" fillId="0" borderId="0" xfId="0" applyNumberFormat="1"/>
    <xf numFmtId="0" fontId="3" fillId="0" borderId="0" xfId="0" applyFont="1"/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1" fontId="5" fillId="0" borderId="0" xfId="0" applyNumberFormat="1" applyFont="1"/>
    <xf numFmtId="0" fontId="0" fillId="0" borderId="0" xfId="0" applyFont="1"/>
    <xf numFmtId="164" fontId="5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U17" sqref="U17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4.28515625" customWidth="1"/>
    <col min="5" max="5" width="18.7109375" bestFit="1" customWidth="1"/>
    <col min="6" max="6" width="16.28515625" bestFit="1" customWidth="1"/>
    <col min="7" max="7" width="6" bestFit="1" customWidth="1"/>
    <col min="8" max="8" width="9.5703125" bestFit="1" customWidth="1"/>
  </cols>
  <sheetData>
    <row r="1" spans="1:13" x14ac:dyDescent="0.25">
      <c r="A1" s="3" t="s">
        <v>9</v>
      </c>
      <c r="B1" s="3" t="s">
        <v>12</v>
      </c>
      <c r="C1" s="3" t="s">
        <v>32</v>
      </c>
      <c r="D1" s="3" t="s">
        <v>8</v>
      </c>
      <c r="E1" s="3" t="s">
        <v>7</v>
      </c>
      <c r="F1" s="3" t="s">
        <v>0</v>
      </c>
      <c r="G1" s="3" t="s">
        <v>1</v>
      </c>
      <c r="H1" s="3" t="s">
        <v>3</v>
      </c>
      <c r="J1" t="s">
        <v>16</v>
      </c>
      <c r="K1" t="s">
        <v>18</v>
      </c>
    </row>
    <row r="2" spans="1:13" x14ac:dyDescent="0.25">
      <c r="A2" t="s">
        <v>4</v>
      </c>
      <c r="B2" t="s">
        <v>13</v>
      </c>
      <c r="F2" t="s">
        <v>11</v>
      </c>
      <c r="G2" t="s">
        <v>2</v>
      </c>
      <c r="H2" s="8">
        <f>K2</f>
        <v>9052</v>
      </c>
      <c r="J2" s="8">
        <v>10025.4</v>
      </c>
      <c r="K2" s="9">
        <v>9052</v>
      </c>
      <c r="L2" t="s">
        <v>29</v>
      </c>
    </row>
    <row r="3" spans="1:13" x14ac:dyDescent="0.25">
      <c r="A3" t="s">
        <v>4</v>
      </c>
      <c r="B3" t="s">
        <v>14</v>
      </c>
      <c r="F3" t="s">
        <v>11</v>
      </c>
      <c r="G3" t="s">
        <v>2</v>
      </c>
      <c r="H3" s="8">
        <f>K3</f>
        <v>8284</v>
      </c>
      <c r="J3" s="8">
        <v>9367.2000000000007</v>
      </c>
      <c r="K3" s="9">
        <v>8284</v>
      </c>
      <c r="L3" t="s">
        <v>29</v>
      </c>
    </row>
    <row r="5" spans="1:13" x14ac:dyDescent="0.25">
      <c r="A5" t="s">
        <v>4</v>
      </c>
      <c r="B5" t="s">
        <v>13</v>
      </c>
      <c r="F5" t="s">
        <v>15</v>
      </c>
      <c r="G5" t="s">
        <v>2</v>
      </c>
      <c r="H5" s="1">
        <f>K5</f>
        <v>14.602499999999997</v>
      </c>
      <c r="J5">
        <v>13.2</v>
      </c>
      <c r="K5" s="10">
        <f>12 / (K25 / (K23/12))</f>
        <v>14.602499999999997</v>
      </c>
      <c r="L5" t="s">
        <v>28</v>
      </c>
    </row>
    <row r="6" spans="1:13" x14ac:dyDescent="0.25">
      <c r="A6" t="s">
        <v>4</v>
      </c>
      <c r="B6" t="s">
        <v>14</v>
      </c>
      <c r="F6" t="s">
        <v>15</v>
      </c>
      <c r="G6" t="s">
        <v>2</v>
      </c>
      <c r="H6" s="1">
        <f>K6</f>
        <v>14.580909090909088</v>
      </c>
      <c r="J6">
        <v>12.9</v>
      </c>
      <c r="K6" s="10">
        <f>12 / (K26 / (K24/12))</f>
        <v>14.580909090909088</v>
      </c>
      <c r="L6" t="s">
        <v>28</v>
      </c>
    </row>
    <row r="8" spans="1:13" x14ac:dyDescent="0.25">
      <c r="A8" t="s">
        <v>4</v>
      </c>
      <c r="B8" t="s">
        <v>13</v>
      </c>
      <c r="F8" t="s">
        <v>17</v>
      </c>
      <c r="G8" t="s">
        <v>2</v>
      </c>
      <c r="H8" s="1">
        <f>K8</f>
        <v>33.9</v>
      </c>
      <c r="J8">
        <v>37.1</v>
      </c>
      <c r="K8" s="11">
        <v>33.9</v>
      </c>
      <c r="L8" t="s">
        <v>27</v>
      </c>
    </row>
    <row r="9" spans="1:13" x14ac:dyDescent="0.25">
      <c r="A9" t="s">
        <v>4</v>
      </c>
      <c r="B9" t="s">
        <v>14</v>
      </c>
      <c r="F9" t="s">
        <v>17</v>
      </c>
      <c r="G9" t="s">
        <v>2</v>
      </c>
      <c r="H9" s="1">
        <f>K9</f>
        <v>32.200000000000003</v>
      </c>
      <c r="J9">
        <v>36.1</v>
      </c>
      <c r="K9" s="11">
        <v>32.200000000000003</v>
      </c>
      <c r="L9" t="s">
        <v>27</v>
      </c>
    </row>
    <row r="11" spans="1:13" x14ac:dyDescent="0.25">
      <c r="A11" t="s">
        <v>4</v>
      </c>
      <c r="B11" s="5"/>
      <c r="C11" s="5"/>
      <c r="D11" s="2" t="s">
        <v>5</v>
      </c>
      <c r="F11" s="2" t="s">
        <v>25</v>
      </c>
      <c r="G11" s="2" t="s">
        <v>2</v>
      </c>
      <c r="H11" s="4">
        <f>K11</f>
        <v>651.52821361702138</v>
      </c>
      <c r="I11" s="2"/>
      <c r="J11" s="4">
        <v>651.52821361702138</v>
      </c>
      <c r="K11" s="12">
        <f>J11</f>
        <v>651.52821361702138</v>
      </c>
      <c r="L11" t="s">
        <v>26</v>
      </c>
      <c r="M11" s="6"/>
    </row>
    <row r="12" spans="1:13" x14ac:dyDescent="0.25">
      <c r="B12" s="5"/>
      <c r="C12" s="5"/>
      <c r="D12" s="5"/>
      <c r="E12" s="2"/>
      <c r="F12" s="2"/>
      <c r="G12" s="2"/>
      <c r="H12" s="2"/>
      <c r="I12" s="2"/>
      <c r="J12" s="2"/>
      <c r="K12" s="4"/>
      <c r="M12" s="6"/>
    </row>
    <row r="13" spans="1:13" x14ac:dyDescent="0.25">
      <c r="A13" s="5" t="s">
        <v>33</v>
      </c>
      <c r="B13" s="5"/>
      <c r="C13" s="5"/>
      <c r="D13" s="5"/>
      <c r="E13" s="2"/>
      <c r="F13" s="2"/>
      <c r="G13" s="2"/>
      <c r="H13" s="2"/>
      <c r="I13" s="2"/>
      <c r="J13" s="2"/>
      <c r="K13" s="4"/>
      <c r="M13" s="6"/>
    </row>
    <row r="14" spans="1:13" x14ac:dyDescent="0.25">
      <c r="A14" t="s">
        <v>4</v>
      </c>
      <c r="D14" t="s">
        <v>5</v>
      </c>
      <c r="E14" t="s">
        <v>10</v>
      </c>
      <c r="F14" t="s">
        <v>6</v>
      </c>
      <c r="G14" t="s">
        <v>2</v>
      </c>
      <c r="H14" s="1">
        <f>K14</f>
        <v>12.1</v>
      </c>
      <c r="J14" s="1">
        <v>6.6079520088655128</v>
      </c>
      <c r="K14" s="10">
        <v>12.1</v>
      </c>
    </row>
    <row r="15" spans="1:13" x14ac:dyDescent="0.25">
      <c r="A15" t="s">
        <v>4</v>
      </c>
      <c r="D15" t="s">
        <v>5</v>
      </c>
      <c r="F15" t="s">
        <v>6</v>
      </c>
      <c r="G15" t="s">
        <v>34</v>
      </c>
      <c r="H15" s="15">
        <f>(1 / (100 - J14)) * (1 - K14/100) * 100</f>
        <v>0.94119362291256503</v>
      </c>
      <c r="J15" s="1" t="s">
        <v>42</v>
      </c>
    </row>
    <row r="16" spans="1:13" x14ac:dyDescent="0.25">
      <c r="A16" t="s">
        <v>4</v>
      </c>
      <c r="B16" t="s">
        <v>13</v>
      </c>
      <c r="C16" t="s">
        <v>31</v>
      </c>
      <c r="D16" t="s">
        <v>5</v>
      </c>
      <c r="E16" t="s">
        <v>10</v>
      </c>
      <c r="F16" t="s">
        <v>6</v>
      </c>
      <c r="G16" t="s">
        <v>2</v>
      </c>
      <c r="H16" s="1">
        <f>K16</f>
        <v>12.1</v>
      </c>
      <c r="J16" s="1">
        <v>6.4615074492035101</v>
      </c>
      <c r="K16" s="10">
        <v>12.1</v>
      </c>
    </row>
    <row r="17" spans="1:11" x14ac:dyDescent="0.25">
      <c r="A17" t="s">
        <v>4</v>
      </c>
      <c r="B17" t="s">
        <v>13</v>
      </c>
      <c r="C17" t="s">
        <v>31</v>
      </c>
      <c r="D17" t="s">
        <v>5</v>
      </c>
      <c r="F17" t="s">
        <v>6</v>
      </c>
      <c r="G17" t="s">
        <v>34</v>
      </c>
      <c r="H17" s="15">
        <f>(1 / (100 - J16)) * (1 - K16/100) * 100</f>
        <v>0.93972008317608402</v>
      </c>
      <c r="J17" s="1" t="s">
        <v>42</v>
      </c>
    </row>
    <row r="19" spans="1:11" x14ac:dyDescent="0.25">
      <c r="H19" s="7" t="s">
        <v>40</v>
      </c>
      <c r="I19" t="s">
        <v>36</v>
      </c>
      <c r="J19">
        <v>0</v>
      </c>
      <c r="K19" s="11">
        <v>0.25</v>
      </c>
    </row>
    <row r="20" spans="1:11" x14ac:dyDescent="0.25">
      <c r="I20" t="s">
        <v>37</v>
      </c>
      <c r="J20">
        <v>0</v>
      </c>
      <c r="K20" s="11">
        <v>0.25</v>
      </c>
    </row>
    <row r="21" spans="1:11" x14ac:dyDescent="0.25">
      <c r="H21" s="7" t="s">
        <v>39</v>
      </c>
      <c r="I21" t="s">
        <v>36</v>
      </c>
      <c r="J21">
        <v>0</v>
      </c>
      <c r="K21" s="11">
        <v>6</v>
      </c>
    </row>
    <row r="22" spans="1:11" x14ac:dyDescent="0.25">
      <c r="I22" t="s">
        <v>37</v>
      </c>
      <c r="J22">
        <v>0</v>
      </c>
      <c r="K22" s="11">
        <v>6</v>
      </c>
    </row>
    <row r="23" spans="1:11" x14ac:dyDescent="0.25">
      <c r="H23" s="7" t="s">
        <v>35</v>
      </c>
      <c r="I23" t="s">
        <v>36</v>
      </c>
      <c r="J23" s="1">
        <v>32</v>
      </c>
      <c r="K23" s="10">
        <v>35.4</v>
      </c>
    </row>
    <row r="24" spans="1:11" x14ac:dyDescent="0.25">
      <c r="I24" t="s">
        <v>37</v>
      </c>
      <c r="J24" s="1">
        <v>33</v>
      </c>
      <c r="K24" s="10">
        <v>37.299999999999997</v>
      </c>
    </row>
    <row r="25" spans="1:11" x14ac:dyDescent="0.25">
      <c r="H25" t="s">
        <v>38</v>
      </c>
      <c r="I25" t="s">
        <v>36</v>
      </c>
      <c r="J25" s="1">
        <f>(12/J5) * (J23/12)</f>
        <v>2.4242424242424243</v>
      </c>
      <c r="K25" s="14">
        <f>J25</f>
        <v>2.4242424242424243</v>
      </c>
    </row>
    <row r="26" spans="1:11" x14ac:dyDescent="0.25">
      <c r="I26" t="s">
        <v>37</v>
      </c>
      <c r="J26" s="1">
        <f>(12/J6) * (J24/12)</f>
        <v>2.558139534883721</v>
      </c>
      <c r="K26" s="14">
        <f>J26</f>
        <v>2.558139534883721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K3" sqref="K3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20.7109375" bestFit="1" customWidth="1"/>
    <col min="5" max="5" width="11.7109375" bestFit="1" customWidth="1"/>
    <col min="6" max="6" width="22.7109375" bestFit="1" customWidth="1"/>
    <col min="7" max="7" width="8.42578125" customWidth="1"/>
    <col min="8" max="8" width="6.85546875" customWidth="1"/>
    <col min="10" max="10" width="8.140625" customWidth="1"/>
  </cols>
  <sheetData>
    <row r="1" spans="1:14" x14ac:dyDescent="0.25">
      <c r="A1" s="3" t="s">
        <v>22</v>
      </c>
      <c r="B1" s="3" t="s">
        <v>9</v>
      </c>
      <c r="C1" s="3" t="s">
        <v>8</v>
      </c>
      <c r="D1" s="3" t="s">
        <v>23</v>
      </c>
      <c r="E1" s="3" t="s">
        <v>24</v>
      </c>
      <c r="F1" s="3" t="s">
        <v>0</v>
      </c>
      <c r="G1" s="3" t="s">
        <v>1</v>
      </c>
      <c r="H1" s="3" t="s">
        <v>3</v>
      </c>
      <c r="J1" t="s">
        <v>16</v>
      </c>
      <c r="K1" s="13" t="s">
        <v>41</v>
      </c>
    </row>
    <row r="2" spans="1:14" x14ac:dyDescent="0.25">
      <c r="A2" t="s">
        <v>19</v>
      </c>
      <c r="B2" t="s">
        <v>4</v>
      </c>
      <c r="C2" t="s">
        <v>5</v>
      </c>
      <c r="D2" t="s">
        <v>20</v>
      </c>
      <c r="E2" t="s">
        <v>10</v>
      </c>
      <c r="F2" t="s">
        <v>21</v>
      </c>
      <c r="G2" t="s">
        <v>2</v>
      </c>
      <c r="H2" s="4">
        <f>K2</f>
        <v>74</v>
      </c>
      <c r="J2" s="2">
        <v>20</v>
      </c>
      <c r="K2" s="4">
        <v>74</v>
      </c>
      <c r="L2" t="s">
        <v>27</v>
      </c>
      <c r="N2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CattleHerd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2025-01-20T08:37:48Z</dcterms:modified>
</cp:coreProperties>
</file>