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F39F2ED7-E63F-41C9-9082-F64D0F3647E7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4" l="1"/>
  <c r="K9" i="4" l="1"/>
  <c r="K8" i="4"/>
  <c r="K3" i="4"/>
  <c r="K2" i="4"/>
  <c r="H17" i="4" l="1"/>
  <c r="H15" i="4"/>
  <c r="H2" i="5"/>
  <c r="J21" i="4"/>
  <c r="K21" i="4"/>
  <c r="J22" i="4"/>
  <c r="K22" i="4"/>
  <c r="K11" i="4"/>
  <c r="H11" i="4" s="1"/>
  <c r="K6" i="4" l="1"/>
  <c r="H6" i="4" s="1"/>
  <c r="H5" i="4"/>
  <c r="H2" i="4"/>
  <c r="H3" i="4"/>
  <c r="H8" i="4"/>
  <c r="H9" i="4"/>
  <c r="H16" i="4"/>
  <c r="H14" i="4"/>
</calcChain>
</file>

<file path=xl/sharedStrings.xml><?xml version="1.0" encoding="utf-8"?>
<sst xmlns="http://schemas.openxmlformats.org/spreadsheetml/2006/main" count="95" uniqueCount="40">
  <si>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</si>
  <si>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</si>
  <si>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</si>
  <si>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</si>
  <si>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</si>
  <si>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</si>
  <si>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</si>
  <si>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</si>
  <si>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</si>
  <si>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</si>
  <si>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</si>
  <si>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</si>
  <si>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</si>
  <si>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</si>
  <si>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</si>
  <si>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</si>
  <si>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</si>
  <si>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</si>
  <si>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</si>
  <si>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</si>
  <si>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</si>
  <si>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</si>
  <si>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</si>
  <si>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</si>
  <si>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</si>
  <si>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</si>
  <si>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</si>
  <si>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</si>
  <si>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</si>
  <si>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</si>
  <si>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</si>
  <si>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</si>
  <si>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</si>
  <si>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</si>
  <si>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</si>
  <si>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</si>
  <si>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</si>
  <si>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</si>
  <si>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new</t>
  </si>
  <si>
    <t>all other feeds reduced proportionally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</si>
</sst>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L29" sqref="L29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38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7">
        <f>K2</f>
        <v>8764.5571059137801</v>
      </c>
      <c r="J2" s="7">
        <v>9638</v>
      </c>
      <c r="K2" s="8">
        <f>J2/(K19/J19)</f>
        <v>8764.5571059137801</v>
      </c>
      <c r="L2" t="s">
        <v>28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7">
        <f>K3</f>
        <v>8017.6181739693493</v>
      </c>
      <c r="J3" s="7">
        <v>9005</v>
      </c>
      <c r="K3" s="8">
        <f>J3/(K20/J20)</f>
        <v>8017.6181739693493</v>
      </c>
      <c r="L3" t="s">
        <v>28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14.5154625</v>
      </c>
      <c r="J5">
        <v>13.2</v>
      </c>
      <c r="K5" s="9">
        <f>12 / (K21 / (K19/12))</f>
        <v>14.5154625</v>
      </c>
      <c r="L5" t="s">
        <v>27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14.488654545454544</v>
      </c>
      <c r="J6">
        <v>12.9</v>
      </c>
      <c r="K6" s="9">
        <f>12 / (K22 / (K20/12))</f>
        <v>14.488654545454544</v>
      </c>
      <c r="L6" t="s">
        <v>27</v>
      </c>
    </row>
    <row r="8" spans="1:12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34.101565830231038</v>
      </c>
      <c r="J8">
        <v>37.1</v>
      </c>
      <c r="K8" s="9">
        <f>12/K19*100</f>
        <v>34.101565830231038</v>
      </c>
      <c r="L8" t="s">
        <v>26</v>
      </c>
    </row>
    <row r="9" spans="1:12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32.376429958989853</v>
      </c>
      <c r="J9">
        <v>36.1</v>
      </c>
      <c r="K9" s="9">
        <f>12/K20*100</f>
        <v>32.376429958989853</v>
      </c>
      <c r="L9" t="s">
        <v>26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25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12.7</v>
      </c>
      <c r="J14" s="1">
        <v>6.6079520088655128</v>
      </c>
      <c r="K14" s="9">
        <v>12.7</v>
      </c>
    </row>
    <row r="15" spans="1:12" x14ac:dyDescent="0.25">
      <c r="A15" t="s">
        <v>4</v>
      </c>
      <c r="D15" t="s">
        <v>5</v>
      </c>
      <c r="F15" t="s">
        <v>6</v>
      </c>
      <c r="G15" t="s">
        <v>33</v>
      </c>
      <c r="H15" s="12">
        <f>(1 / (100 - J14)) * (1 - K14/100) * 100</f>
        <v>0.93476909306333245</v>
      </c>
      <c r="J15" s="1" t="s">
        <v>39</v>
      </c>
    </row>
    <row r="16" spans="1:12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12.7</v>
      </c>
      <c r="J16" s="1">
        <v>6.4615074492035101</v>
      </c>
      <c r="K16" s="9">
        <v>12.7</v>
      </c>
    </row>
    <row r="17" spans="1:11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12">
        <f>(1 / (100 - J16)) * (1 - K16/100) * 100</f>
        <v>0.93330561161856818</v>
      </c>
      <c r="J17" s="1" t="s">
        <v>39</v>
      </c>
    </row>
    <row r="19" spans="1:11" x14ac:dyDescent="0.25">
      <c r="H19" s="6" t="s">
        <v>34</v>
      </c>
      <c r="I19" t="s">
        <v>35</v>
      </c>
      <c r="J19" s="1">
        <v>32</v>
      </c>
      <c r="K19" s="9">
        <v>35.189</v>
      </c>
    </row>
    <row r="20" spans="1:11" x14ac:dyDescent="0.25">
      <c r="I20" t="s">
        <v>36</v>
      </c>
      <c r="J20" s="1">
        <v>33</v>
      </c>
      <c r="K20" s="9">
        <v>37.064</v>
      </c>
    </row>
    <row r="21" spans="1:11" x14ac:dyDescent="0.25">
      <c r="H21" t="s">
        <v>37</v>
      </c>
      <c r="I21" t="s">
        <v>35</v>
      </c>
      <c r="J21" s="1">
        <f>(12/J5) * (J19/12)</f>
        <v>2.4242424242424243</v>
      </c>
      <c r="K21" s="11">
        <f>J21</f>
        <v>2.4242424242424243</v>
      </c>
    </row>
    <row r="22" spans="1:11" x14ac:dyDescent="0.25">
      <c r="I22" t="s">
        <v>36</v>
      </c>
      <c r="J22" s="1">
        <f>(12/J6) * (J20/12)</f>
        <v>2.558139534883721</v>
      </c>
      <c r="K22" s="11">
        <f>J22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L2" sqref="L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8.42578125" customWidth="1"/>
    <col min="8" max="8" width="6.85546875" customWidth="1"/>
    <col min="10" max="10" width="8.140625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t="s">
        <v>38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68</v>
      </c>
      <c r="J2" s="2">
        <v>28</v>
      </c>
      <c r="K2" s="13">
        <v>68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2025-05-02T07:47:55Z</dcterms:modified>
</cp:coreProperties>
</file>