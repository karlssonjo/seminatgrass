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4" l="1"/>
  <c r="H17" i="4" l="1"/>
  <c r="H15" i="4"/>
  <c r="H2" i="5"/>
  <c r="J25" i="4"/>
  <c r="K25" i="4"/>
  <c r="J26" i="4"/>
  <c r="K26" i="4"/>
  <c r="H11" i="4"/>
  <c r="K11" i="4"/>
  <c r="K6" i="4" l="1"/>
  <c r="H6" i="4" s="1"/>
  <c r="H5" i="4"/>
  <c r="H2" i="4"/>
  <c r="H3" i="4"/>
  <c r="H8" i="4"/>
  <c r="H9" i="4"/>
  <c r="H16" i="4"/>
  <c r="H14" i="4"/>
</calcChain>
</file>

<file path=xl/sharedStrings.xml><?xml version="1.0" encoding="utf-8"?>
<sst xmlns="http://schemas.openxmlformats.org/spreadsheetml/2006/main" count="101" uniqueCount="42">
  <si>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</si>
  <si>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</si>
  <si>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</si>
  <si>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</si>
  <si>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</si>
  <si>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</si>
  <si>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</si>
  <si>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</si>
  <si>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</si>
  <si>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</si>
  <si>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</si>
  <si>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</si>
  <si>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</si>
  <si>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</si>
  <si>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</si>
  <si>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</si>
  <si>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</si>
  <si>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</si>
  <si>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</si>
  <si>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</si>
  <si>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</si>
  <si>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</si>
  <si>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</si>
  <si>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</si>
  <si>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</si>
  <si>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</si>
  <si>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</si>
  <si>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</si>
  <si>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</si>
  <si>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</si>
  <si>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</si>
  <si>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</si>
  <si>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</si>
  <si>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</si>
  <si>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</si>
  <si>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</si>
  <si>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</si>
  <si>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</si>
  <si>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</si>
  <si>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</si>
  <si>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</si>
  <si>
    <t>all other feeds reduced proportionally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</si>
</sst>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0" fontId="0" fillId="0" borderId="0" xfId="0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0" fontId="4" fillId="0" borderId="0" xfId="0" applyFont="1"/>
    <xf numFmtId="1" fontId="5" fillId="0" borderId="0" xfId="0" applyNumberFormat="1" applyFont="1"/>
    <xf numFmtId="0" fontId="0" fillId="0" borderId="0" xfId="0" applyFont="1"/>
    <xf numFmtId="164" fontId="5" fillId="0" borderId="0" xfId="0" applyNumberFormat="1" applyFont="1"/>
    <xf numFmtId="165" fontId="0" fillId="0" borderId="0" xfId="0" applyNumberForma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selection activeCell="O19" sqref="O19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31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40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8">
        <f>K2</f>
        <v>9052</v>
      </c>
      <c r="J2" s="8">
        <v>10025.4</v>
      </c>
      <c r="K2" s="9">
        <v>9052</v>
      </c>
      <c r="L2" t="s">
        <v>28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8">
        <f>K3</f>
        <v>8284</v>
      </c>
      <c r="J3" s="8">
        <v>9367.2000000000007</v>
      </c>
      <c r="K3" s="9">
        <v>8284</v>
      </c>
      <c r="L3" t="s">
        <v>28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14.602499999999997</v>
      </c>
      <c r="J5">
        <v>13.2</v>
      </c>
      <c r="K5" s="10">
        <f>12 / (K25 / (K23/12))</f>
        <v>14.602499999999997</v>
      </c>
      <c r="L5" t="s">
        <v>27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14.580909090909088</v>
      </c>
      <c r="J6">
        <v>12.9</v>
      </c>
      <c r="K6" s="10">
        <f>12 / (K26 / (K24/12))</f>
        <v>14.580909090909088</v>
      </c>
      <c r="L6" t="s">
        <v>27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33.9</v>
      </c>
      <c r="J8">
        <v>37.1</v>
      </c>
      <c r="K8" s="11">
        <v>33.9</v>
      </c>
      <c r="L8" t="s">
        <v>26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32.200000000000003</v>
      </c>
      <c r="J9">
        <v>36.1</v>
      </c>
      <c r="K9" s="11">
        <v>32.200000000000003</v>
      </c>
      <c r="L9" t="s">
        <v>26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24</v>
      </c>
      <c r="G11" s="2" t="s">
        <v>2</v>
      </c>
      <c r="H11" s="4">
        <f>K11</f>
        <v>651.52821361702138</v>
      </c>
      <c r="I11" s="2"/>
      <c r="J11" s="4">
        <v>651.52821361702138</v>
      </c>
      <c r="K11" s="12">
        <f>J11</f>
        <v>651.52821361702138</v>
      </c>
      <c r="L11" t="s">
        <v>25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32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12.1</v>
      </c>
      <c r="J14" s="1">
        <v>6.6079520088655128</v>
      </c>
      <c r="K14" s="10">
        <v>12.1</v>
      </c>
    </row>
    <row r="15" spans="1:13" x14ac:dyDescent="0.25">
      <c r="A15" t="s">
        <v>4</v>
      </c>
      <c r="D15" t="s">
        <v>5</v>
      </c>
      <c r="F15" t="s">
        <v>6</v>
      </c>
      <c r="G15" t="s">
        <v>33</v>
      </c>
      <c r="H15" s="15">
        <f>(1 / (100 - J14)) * (1 - K14/100) * 100</f>
        <v>0.94119362291256503</v>
      </c>
      <c r="J15" s="1" t="s">
        <v>41</v>
      </c>
    </row>
    <row r="16" spans="1:13" x14ac:dyDescent="0.25">
      <c r="A16" t="s">
        <v>4</v>
      </c>
      <c r="B16" t="s">
        <v>13</v>
      </c>
      <c r="C16" t="s">
        <v>30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12.1</v>
      </c>
      <c r="J16" s="1">
        <v>6.4615074492035101</v>
      </c>
      <c r="K16" s="10">
        <v>12.1</v>
      </c>
    </row>
    <row r="17" spans="1:11" x14ac:dyDescent="0.25">
      <c r="A17" t="s">
        <v>4</v>
      </c>
      <c r="B17" t="s">
        <v>13</v>
      </c>
      <c r="C17" t="s">
        <v>30</v>
      </c>
      <c r="D17" t="s">
        <v>5</v>
      </c>
      <c r="F17" t="s">
        <v>6</v>
      </c>
      <c r="G17" t="s">
        <v>33</v>
      </c>
      <c r="H17" s="15">
        <f>(1 / (100 - J16)) * (1 - K16/100) * 100</f>
        <v>0.93972008317608402</v>
      </c>
      <c r="J17" s="1" t="s">
        <v>41</v>
      </c>
    </row>
    <row r="19" spans="1:11" x14ac:dyDescent="0.25">
      <c r="H19" s="7" t="s">
        <v>39</v>
      </c>
      <c r="I19" t="s">
        <v>35</v>
      </c>
      <c r="J19">
        <v>0</v>
      </c>
      <c r="K19" s="11">
        <v>0.25</v>
      </c>
    </row>
    <row r="20" spans="1:11" x14ac:dyDescent="0.25">
      <c r="I20" t="s">
        <v>36</v>
      </c>
      <c r="J20">
        <v>0</v>
      </c>
      <c r="K20" s="11">
        <v>0.25</v>
      </c>
    </row>
    <row r="21" spans="1:11" x14ac:dyDescent="0.25">
      <c r="H21" s="7" t="s">
        <v>38</v>
      </c>
      <c r="I21" t="s">
        <v>35</v>
      </c>
      <c r="J21">
        <v>0</v>
      </c>
      <c r="K21" s="11">
        <v>6</v>
      </c>
    </row>
    <row r="22" spans="1:11" x14ac:dyDescent="0.25">
      <c r="I22" t="s">
        <v>36</v>
      </c>
      <c r="J22">
        <v>0</v>
      </c>
      <c r="K22" s="11">
        <v>6</v>
      </c>
    </row>
    <row r="23" spans="1:11" x14ac:dyDescent="0.25">
      <c r="H23" s="7" t="s">
        <v>34</v>
      </c>
      <c r="I23" t="s">
        <v>35</v>
      </c>
      <c r="J23" s="1">
        <v>32</v>
      </c>
      <c r="K23" s="10">
        <v>35.4</v>
      </c>
    </row>
    <row r="24" spans="1:11" x14ac:dyDescent="0.25">
      <c r="I24" t="s">
        <v>36</v>
      </c>
      <c r="J24" s="1">
        <v>33</v>
      </c>
      <c r="K24" s="10">
        <v>37.299999999999997</v>
      </c>
    </row>
    <row r="25" spans="1:11" x14ac:dyDescent="0.25">
      <c r="H25" t="s">
        <v>37</v>
      </c>
      <c r="I25" t="s">
        <v>35</v>
      </c>
      <c r="J25" s="1">
        <f>(12/J5) * (J23/12)</f>
        <v>2.4242424242424243</v>
      </c>
      <c r="K25" s="14">
        <f>J25</f>
        <v>2.4242424242424243</v>
      </c>
    </row>
    <row r="26" spans="1:11" x14ac:dyDescent="0.25">
      <c r="I26" t="s">
        <v>36</v>
      </c>
      <c r="J26" s="1">
        <f>(12/J6) * (J24/12)</f>
        <v>2.558139534883721</v>
      </c>
      <c r="K26" s="14">
        <f>J26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J16" sqref="J16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8.42578125" customWidth="1"/>
    <col min="8" max="8" width="6.85546875" customWidth="1"/>
    <col min="10" max="10" width="8.140625" customWidth="1"/>
  </cols>
  <sheetData>
    <row r="1" spans="1:14" x14ac:dyDescent="0.25">
      <c r="A1" s="3" t="s">
        <v>21</v>
      </c>
      <c r="B1" s="3" t="s">
        <v>9</v>
      </c>
      <c r="C1" s="3" t="s">
        <v>8</v>
      </c>
      <c r="D1" s="3" t="s">
        <v>22</v>
      </c>
      <c r="E1" s="3" t="s">
        <v>23</v>
      </c>
      <c r="F1" s="3" t="s">
        <v>0</v>
      </c>
      <c r="G1" s="3" t="s">
        <v>1</v>
      </c>
      <c r="H1" s="3" t="s">
        <v>3</v>
      </c>
      <c r="J1" t="s">
        <v>16</v>
      </c>
      <c r="K1" s="13" t="s">
        <v>40</v>
      </c>
    </row>
    <row r="2" spans="1:14" x14ac:dyDescent="0.25">
      <c r="A2" t="s">
        <v>18</v>
      </c>
      <c r="B2" t="s">
        <v>4</v>
      </c>
      <c r="C2" t="s">
        <v>5</v>
      </c>
      <c r="D2" t="s">
        <v>19</v>
      </c>
      <c r="E2" t="s">
        <v>10</v>
      </c>
      <c r="F2" t="s">
        <v>20</v>
      </c>
      <c r="G2" t="s">
        <v>2</v>
      </c>
      <c r="H2" s="4">
        <f>K2</f>
        <v>74.05</v>
      </c>
      <c r="J2" s="2">
        <v>20</v>
      </c>
      <c r="K2" s="16">
        <v>74.05</v>
      </c>
      <c r="L2" t="s">
        <v>26</v>
      </c>
      <c r="N2" t="s">
        <v>29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2025-01-22T10:32:45Z</dcterms:modified>
</cp:coreProperties>
</file>